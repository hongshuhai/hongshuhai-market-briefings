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数据" sheetId="1" state="visible" r:id="rId1"/>
    <sheet xmlns:r="http://schemas.openxmlformats.org/officeDocument/2006/relationships" name="七步方法与数据源" sheetId="2" state="visible" r:id="rId2"/>
  </sheets>
  <definedNames>
    <definedName name="_xlnm._FilterDatabase" localSheetId="0" hidden="1">'每日数据'!$A$3:$AO$40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.00%;-0.00%;0.00%"/>
    <numFmt numFmtId="166" formatCode="#,##0.0"/>
    <numFmt numFmtId="167" formatCode="yyyy-mm-dd"/>
  </numFmts>
  <fonts count="13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color rgb="FFFFFFFF"/>
    </font>
    <font>
      <b val="1"/>
      <color rgb="FFFFFFFF"/>
    </font>
    <font>
      <b val="1"/>
      <color rgb="FFFFFFFF"/>
      <sz val="14"/>
    </font>
    <font>
      <color rgb="FF1F3864"/>
    </font>
    <font>
      <b val="1"/>
      <color rgb="FF1F3864"/>
    </font>
    <font>
      <color rgb="FF9C6500"/>
    </font>
    <font>
      <color rgb="FF9C0006"/>
    </font>
    <font>
      <color rgb="FF006100"/>
    </font>
    <font>
      <b val="1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/>
    </fill>
  </fills>
  <borders count="3">
    <border>
      <left/>
      <right/>
      <top/>
      <bottom/>
      <diagonal/>
    </border>
    <border>
      <bottom style="thin">
        <color rgb="FF999999"/>
      </bottom>
    </border>
    <border>
      <left/>
      <right/>
      <top/>
      <bottom/>
      <diagonal/>
    </border>
  </borders>
  <cellStyleXfs count="1">
    <xf numFmtId="0" fontId="12" fillId="7" borderId="2"/>
  </cellStyleXfs>
  <cellXfs count="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4" fillId="2" borderId="1" applyAlignment="1" pivotButton="0" quotePrefix="0" xfId="0">
      <alignment horizontal="center" wrapText="1"/>
    </xf>
    <xf numFmtId="0" fontId="8" fillId="4" borderId="0" pivotButton="0" quotePrefix="0" xfId="0"/>
    <xf numFmtId="0" fontId="9" fillId="5" borderId="0" pivotButton="0" quotePrefix="0" xfId="0"/>
    <xf numFmtId="0" fontId="10" fillId="6" borderId="0" pivotButton="0" quotePrefix="0" xfId="0"/>
    <xf numFmtId="1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5" fillId="2" borderId="2" applyAlignment="1" pivotButton="0" quotePrefix="0" xfId="0">
      <alignment horizontal="center"/>
    </xf>
    <xf numFmtId="0" fontId="7" fillId="3" borderId="2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7" fillId="3" borderId="2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showGridLines="1" workbookViewId="0">
      <pane xSplit="1" ySplit="3" topLeftCell="B4" activePane="topLeft" state="frozen"/>
      <selection activeCell="A1" sqref="A1"/>
    </sheetView>
  </sheetViews>
  <sheetFormatPr baseColWidth="8" defaultRowHeight="15"/>
  <cols>
    <col width="11.6719" customWidth="1" style="3" min="1" max="4"/>
    <col width="10.6719" customWidth="1" style="3" min="5" max="7"/>
    <col width="12.6719" customWidth="1" style="3" min="8" max="8"/>
    <col width="18.6719" customWidth="1" style="3" min="9" max="9"/>
    <col width="12.6719" customWidth="1" style="3" min="10" max="10"/>
    <col width="10.6719" customWidth="1" style="3" min="11" max="14"/>
    <col width="15.6719" customWidth="1" style="3" min="15" max="15"/>
    <col width="12.6719" customWidth="1" style="3" min="16" max="16"/>
    <col width="10.6719" customWidth="1" style="3" min="17" max="17"/>
    <col width="13.6719" customWidth="1" style="3" min="18" max="18"/>
    <col width="11.6719" customWidth="1" style="3" min="19" max="19"/>
    <col width="14.6719" customWidth="1" style="3" min="20" max="20"/>
    <col width="10.6719" customWidth="1" style="3" min="21" max="21"/>
    <col width="13.6719" customWidth="1" style="3" min="22" max="22"/>
    <col width="10.6719" customWidth="1" style="3" min="23" max="23"/>
    <col width="14.6719" customWidth="1" style="3" min="24" max="24"/>
    <col width="10.6719" customWidth="1" style="3" min="25" max="25"/>
    <col width="14.6719" customWidth="1" style="3" min="26" max="26"/>
    <col width="10.6719" customWidth="1" style="3" min="27" max="27"/>
    <col width="14.6719" customWidth="1" style="3" min="28" max="28"/>
    <col width="10.6719" customWidth="1" style="3" min="29" max="29"/>
    <col width="14.6719" customWidth="1" style="3" min="30" max="30"/>
    <col width="10.6719" customWidth="1" style="3" min="31" max="31"/>
    <col width="20.6719" customWidth="1" style="3" min="32" max="32"/>
    <col width="10.6719" customWidth="1" style="3" min="33" max="37"/>
    <col width="14.6719" customWidth="1" style="3" min="38" max="38"/>
    <col width="34.6719" customWidth="1" style="3" min="39" max="39"/>
    <col width="18.6719" customWidth="1" style="3" min="40" max="40"/>
    <col width="42.6719" customWidth="1" style="3" min="41" max="41"/>
  </cols>
  <sheetData>
    <row r="1" ht="28.5" customHeight="1" s="3">
      <c r="A1" s="29" t="inlineStr">
        <is>
          <t>市场温度七步扫描 · 每日追踪（美东收盘数据，一天一行）</t>
        </is>
      </c>
    </row>
    <row r="2" ht="19.5" customHeight="1" s="3">
      <c r="B2" s="30" t="inlineStr">
        <is>
          <t>① 利率与债券</t>
        </is>
      </c>
      <c r="J2" s="30" t="inlineStr">
        <is>
          <t>② 指数期货</t>
        </is>
      </c>
      <c r="P2" s="30" t="inlineStr">
        <is>
          <t>③ 石油</t>
        </is>
      </c>
      <c r="T2" s="30" t="inlineStr">
        <is>
          <t>④ 黄金·白银·铜</t>
        </is>
      </c>
      <c r="Z2" s="30" t="inlineStr">
        <is>
          <t>⑤ 谷物</t>
        </is>
      </c>
      <c r="AG2" s="30" t="inlineStr">
        <is>
          <t>⑥ VIX</t>
        </is>
      </c>
      <c r="AM2" s="30" t="inlineStr">
        <is>
          <t>⑦ 日历与对冲</t>
        </is>
      </c>
      <c r="AO2" s="12" t="inlineStr">
        <is>
          <t>一句话</t>
        </is>
      </c>
    </row>
    <row r="3" ht="33" customHeight="1" s="3">
      <c r="A3" s="14" t="inlineStr">
        <is>
          <t>日期</t>
        </is>
      </c>
      <c r="B3" s="14" t="inlineStr">
        <is>
          <t>2年期收益率</t>
        </is>
      </c>
      <c r="C3" s="14" t="inlineStr">
        <is>
          <t>10年期收益率</t>
        </is>
      </c>
      <c r="D3" s="14" t="inlineStr">
        <is>
          <t>30年期收益率</t>
        </is>
      </c>
      <c r="E3" s="14" t="inlineStr">
        <is>
          <t>2Y日变动(bp)</t>
        </is>
      </c>
      <c r="F3" s="14" t="inlineStr">
        <is>
          <t>10Y日变动(bp)</t>
        </is>
      </c>
      <c r="G3" s="14" t="inlineStr">
        <is>
          <t>30Y日变动(bp)</t>
        </is>
      </c>
      <c r="H3" s="14" t="inlineStr">
        <is>
          <t>10Y-2Y利差(bp)</t>
        </is>
      </c>
      <c r="I3" s="14" t="inlineStr">
        <is>
          <t>曲线变动</t>
        </is>
      </c>
      <c r="J3" s="14" t="inlineStr">
        <is>
          <t>标普500收盘</t>
        </is>
      </c>
      <c r="K3" s="14" t="inlineStr">
        <is>
          <t>道指日涨跌</t>
        </is>
      </c>
      <c r="L3" s="14" t="inlineStr">
        <is>
          <t>标普日涨跌</t>
        </is>
      </c>
      <c r="M3" s="14" t="inlineStr">
        <is>
          <t>纳指日涨跌</t>
        </is>
      </c>
      <c r="N3" s="14" t="inlineStr">
        <is>
          <t>罗素日涨跌</t>
        </is>
      </c>
      <c r="O3" s="14" t="inlineStr">
        <is>
          <t>领涨指数</t>
        </is>
      </c>
      <c r="P3" s="14" t="inlineStr">
        <is>
          <t>WTI收盘(美元)</t>
        </is>
      </c>
      <c r="Q3" s="14" t="inlineStr">
        <is>
          <t>WTI日涨跌</t>
        </is>
      </c>
      <c r="R3" s="14" t="inlineStr">
        <is>
          <t>布伦特收盘(美元)</t>
        </is>
      </c>
      <c r="S3" s="14" t="inlineStr">
        <is>
          <t>布伦特日涨跌</t>
        </is>
      </c>
      <c r="T3" s="14" t="inlineStr">
        <is>
          <t>COMEX金收盘(美元)</t>
        </is>
      </c>
      <c r="U3" s="14" t="inlineStr">
        <is>
          <t>黄金日涨跌</t>
        </is>
      </c>
      <c r="V3" s="14" t="inlineStr">
        <is>
          <t>COMEX银收盘(美元)</t>
        </is>
      </c>
      <c r="W3" s="14" t="inlineStr">
        <is>
          <t>白银日涨跌</t>
        </is>
      </c>
      <c r="X3" s="14" t="inlineStr">
        <is>
          <t>LME铜收盘(美元/吨)</t>
        </is>
      </c>
      <c r="Y3" s="14" t="inlineStr">
        <is>
          <t>铜日涨跌</t>
        </is>
      </c>
      <c r="Z3" s="14" t="inlineStr">
        <is>
          <t>CBOT玉米收盘(美分/蒲)</t>
        </is>
      </c>
      <c r="AA3" s="14" t="inlineStr">
        <is>
          <t>玉米日涨跌</t>
        </is>
      </c>
      <c r="AB3" s="14" t="inlineStr">
        <is>
          <t>CBOT大豆收盘(美分/蒲)</t>
        </is>
      </c>
      <c r="AC3" s="14" t="inlineStr">
        <is>
          <t>大豆日涨跌</t>
        </is>
      </c>
      <c r="AD3" s="14" t="inlineStr">
        <is>
          <t>CBOT小麦收盘(美分/蒲)</t>
        </is>
      </c>
      <c r="AE3" s="14" t="inlineStr">
        <is>
          <t>小麦日涨跌</t>
        </is>
      </c>
      <c r="AF3" s="14" t="inlineStr">
        <is>
          <t>谷物异动</t>
        </is>
      </c>
      <c r="AG3" s="14" t="inlineStr">
        <is>
          <t>VIX收盘</t>
        </is>
      </c>
      <c r="AH3" s="14" t="inlineStr">
        <is>
          <t>VIX日涨跌</t>
        </is>
      </c>
      <c r="AI3" s="14" t="inlineStr">
        <is>
          <t>VIX9D</t>
        </is>
      </c>
      <c r="AJ3" s="14" t="inlineStr">
        <is>
          <t>VIX3M</t>
        </is>
      </c>
      <c r="AK3" s="14" t="inlineStr">
        <is>
          <t>VIX1Y</t>
        </is>
      </c>
      <c r="AL3" s="14" t="inlineStr">
        <is>
          <t>VIX曲线形态</t>
        </is>
      </c>
      <c r="AM3" s="14" t="inlineStr">
        <is>
          <t>未来一周关键事件</t>
        </is>
      </c>
      <c r="AN3" s="14" t="inlineStr">
        <is>
          <t>事件是否被对冲</t>
        </is>
      </c>
      <c r="AO3" s="14" t="inlineStr">
        <is>
          <t>综合温度·一句话</t>
        </is>
      </c>
    </row>
    <row r="4">
      <c r="A4" s="23" t="inlineStr">
        <is>
          <t>2026-08-17</t>
        </is>
      </c>
      <c r="B4" s="18" t="inlineStr"/>
      <c r="C4" s="18" t="n">
        <v>0.0472</v>
      </c>
      <c r="D4" s="18" t="n">
        <v>0.0531</v>
      </c>
      <c r="E4" s="31" t="inlineStr"/>
      <c r="F4" s="31" t="inlineStr"/>
      <c r="G4" s="31" t="inlineStr"/>
      <c r="H4" s="31">
        <f>=IF(OR(B4="",C4=""),"",ROUND((C4-B4)*10000,1))</f>
        <v/>
      </c>
      <c r="I4" s="0" t="inlineStr">
        <is>
          <t>—</t>
        </is>
      </c>
      <c r="J4" s="20" t="n">
        <v>7745.06</v>
      </c>
      <c r="K4" s="32" t="n">
        <v>-0.0051</v>
      </c>
      <c r="L4" s="32" t="inlineStr"/>
      <c r="M4" s="32" t="n">
        <v>-0.0032</v>
      </c>
      <c r="N4" s="32" t="inlineStr"/>
      <c r="O4" s="25" t="inlineStr">
        <is>
          <t>—</t>
        </is>
      </c>
      <c r="P4" s="20" t="n">
        <v>84.5</v>
      </c>
      <c r="Q4" s="32" t="inlineStr"/>
      <c r="R4" s="20" t="n">
        <v>90.87</v>
      </c>
      <c r="S4" s="32" t="inlineStr"/>
      <c r="T4" s="20" t="n">
        <v>4473.8</v>
      </c>
      <c r="U4" s="32" t="inlineStr"/>
      <c r="V4" s="20" t="n">
        <v>66.23999999999999</v>
      </c>
      <c r="W4" s="32" t="inlineStr"/>
      <c r="X4" s="33" t="inlineStr"/>
      <c r="Y4" s="32" t="inlineStr"/>
      <c r="Z4" s="20" t="inlineStr"/>
      <c r="AA4" s="32" t="inlineStr"/>
      <c r="AB4" s="20" t="inlineStr"/>
      <c r="AC4" s="32" t="inlineStr"/>
      <c r="AD4" s="20" t="inlineStr"/>
      <c r="AE4" s="32" t="inlineStr"/>
      <c r="AF4" s="25" t="inlineStr">
        <is>
          <t>—</t>
        </is>
      </c>
      <c r="AG4" s="20" t="n">
        <v>15.19</v>
      </c>
      <c r="AH4" s="32" t="inlineStr"/>
      <c r="AI4" s="20" t="inlineStr"/>
      <c r="AJ4" s="20" t="inlineStr"/>
      <c r="AK4" s="20" t="inlineStr"/>
      <c r="AL4" s="0" t="inlineStr">
        <is>
          <t>—</t>
        </is>
      </c>
      <c r="AM4" s="25" t="inlineStr">
        <is>
          <t>7月零售销售-0.6%创一年多最大降幅(上周五公布)，消费者走弱担忧发酵；本周关注沃尔玛/塔吉特/家得宝等零售财报</t>
        </is>
      </c>
      <c r="AN4" s="0" t="inlineStr">
        <is>
          <t>不明确</t>
        </is>
      </c>
      <c r="AO4" s="25" t="inlineStr">
        <is>
          <t>30年美债5.31%创2007年以来新高叠加油价+2.6%，市场开始交易"财政+通胀双恐慌"，但VIX仅15说明股票端还没人真正害怕。</t>
        </is>
      </c>
    </row>
    <row r="5">
      <c r="A5" s="23" t="inlineStr">
        <is>
          <t>2026-08-18</t>
        </is>
      </c>
      <c r="B5" s="18" t="n">
        <v>0.0417</v>
      </c>
      <c r="C5" s="18" t="n">
        <v>0.04708</v>
      </c>
      <c r="D5" s="18" t="n">
        <v>0.05287</v>
      </c>
      <c r="E5" s="31">
        <f>=IF(OR(B5="",B4=""),"",ROUND((B5-B4)*10000,1))</f>
        <v/>
      </c>
      <c r="F5" s="31">
        <f>=IF(OR(C5="",C4=""),"",ROUND((C5-C4)*10000,1))</f>
        <v/>
      </c>
      <c r="G5" s="31">
        <f>=IF(OR(D5="",D4=""),"",ROUND((D5-D4)*10000,1))</f>
        <v/>
      </c>
      <c r="H5" s="31">
        <f>=IF(OR(B5="",C5=""),"",ROUND((C5-B5)*10000,1))</f>
        <v/>
      </c>
      <c r="I5" s="0" t="inlineStr">
        <is>
          <t>基本走平(长端冲高回落)</t>
        </is>
      </c>
      <c r="J5" s="20" t="n">
        <v>7691.76</v>
      </c>
      <c r="K5" s="32" t="n">
        <v>-0.0022</v>
      </c>
      <c r="L5" s="32">
        <f>=IF(OR(J5="",J5=0,J4=""),"",J5/J4-1)</f>
        <v/>
      </c>
      <c r="M5" s="32" t="n">
        <v>-0.0133</v>
      </c>
      <c r="N5" s="32" t="n">
        <v>-0.013</v>
      </c>
      <c r="O5" s="25" t="inlineStr">
        <is>
          <t>道指(相对最强)</t>
        </is>
      </c>
      <c r="P5" s="20" t="n">
        <v>84.94</v>
      </c>
      <c r="Q5" s="32">
        <f>=IF(OR(P5="",P5=0,P4="",P4=0),"",P5/P4-1)</f>
        <v/>
      </c>
      <c r="R5" s="20" t="n">
        <v>91.02</v>
      </c>
      <c r="S5" s="32">
        <f>=IF(OR(R5="",R5=0,R4="",R4=0),"",R5/R4-1)</f>
        <v/>
      </c>
      <c r="T5" s="20" t="n">
        <v>4420.6</v>
      </c>
      <c r="U5" s="32">
        <f>=IF(OR(T5="",T5=0,T4="",T4=0),"",T5/T4-1)</f>
        <v/>
      </c>
      <c r="V5" s="20" t="n">
        <v>64.04000000000001</v>
      </c>
      <c r="W5" s="32">
        <f>=IF(OR(V5="",V5=0,V4="",V4=0),"",V5/V4-1)</f>
        <v/>
      </c>
      <c r="X5" s="33" t="inlineStr"/>
      <c r="Y5" s="32">
        <f>=IF(OR(X5="",X5=0,X4="",X4=0),"",X5/X4-1)</f>
        <v/>
      </c>
      <c r="Z5" s="20" t="inlineStr"/>
      <c r="AA5" s="32">
        <f>=IF(OR(Z5="",Z5=0,Z4="",Z4=0),"",Z5/Z4-1)</f>
        <v/>
      </c>
      <c r="AB5" s="20" t="inlineStr"/>
      <c r="AC5" s="32">
        <f>=IF(OR(AB5="",AB5=0,AB4="",AB4=0),"",AB5/AB4-1)</f>
        <v/>
      </c>
      <c r="AD5" s="20" t="inlineStr"/>
      <c r="AE5" s="32">
        <f>=IF(OR(AD5="",AD5=0,AD4="",AD4=0),"",AD5/AD4-1)</f>
        <v/>
      </c>
      <c r="AF5" s="25" t="inlineStr">
        <is>
          <t>—</t>
        </is>
      </c>
      <c r="AG5" s="20" t="n">
        <v>15.84</v>
      </c>
      <c r="AH5" s="32">
        <f>=IF(OR(AG5="",AG5=0,AG4="",AG4=0),"",AG5/AG4-1)</f>
        <v/>
      </c>
      <c r="AI5" s="20" t="inlineStr"/>
      <c r="AJ5" s="20" t="inlineStr"/>
      <c r="AK5" s="20" t="inlineStr"/>
      <c r="AL5" s="0" t="inlineStr">
        <is>
          <t>—</t>
        </is>
      </c>
      <c r="AM5" s="25" t="inlineStr">
        <is>
          <t>明日FOMC7月会议纪要；盘前塔吉特/劳氏/TJX财报</t>
        </is>
      </c>
      <c r="AN5" s="0" t="inlineStr">
        <is>
          <t>不明确</t>
        </is>
      </c>
      <c r="AO5" s="25" t="inlineStr">
        <is>
          <t>30年美债盘中5.337%创19年新高，高贴现率屠杀AI/存储链(费半-5%)——市场在交易"利率失控"，能源股是唯一避风港，黄金还在被旧逻辑(实际利率高企)抛售。</t>
        </is>
      </c>
    </row>
    <row r="6">
      <c r="A6" s="23" t="inlineStr">
        <is>
          <t>2026-08-19</t>
        </is>
      </c>
      <c r="B6" s="18" t="n">
        <v>0.04178</v>
      </c>
      <c r="C6" s="18" t="n">
        <v>0.04651</v>
      </c>
      <c r="D6" s="18" t="n">
        <v>0.0519</v>
      </c>
      <c r="E6" s="31">
        <f>=IF(OR(B6="",B5=""),"",ROUND((B6-B5)*10000,1))</f>
        <v/>
      </c>
      <c r="F6" s="31">
        <f>=IF(OR(C6="",C5=""),"",ROUND((C6-C5)*10000,1))</f>
        <v/>
      </c>
      <c r="G6" s="31">
        <f>=IF(OR(D6="",D5=""),"",ROUND((D6-D5)*10000,1))</f>
        <v/>
      </c>
      <c r="H6" s="31">
        <f>=IF(OR(B6="",C6=""),"",ROUND((C6-B6)*10000,1))</f>
        <v/>
      </c>
      <c r="I6" s="0" t="inlineStr">
        <is>
          <t>平坦化(长端领跌)</t>
        </is>
      </c>
      <c r="J6" s="20" t="n">
        <v>7707.98</v>
      </c>
      <c r="K6" s="32" t="n">
        <v>0.0022</v>
      </c>
      <c r="L6" s="32">
        <f>=IF(OR(J6="",J6=0,J5=""),"",J6/J5-1)</f>
        <v/>
      </c>
      <c r="M6" s="32" t="n">
        <v>0.0016</v>
      </c>
      <c r="N6" s="32" t="n">
        <v>0.005</v>
      </c>
      <c r="O6" s="25" t="inlineStr">
        <is>
          <t>罗素2000</t>
        </is>
      </c>
      <c r="P6" s="20" t="n">
        <v>85.83</v>
      </c>
      <c r="Q6" s="32">
        <f>=IF(OR(P6="",P6=0,P5="",P5=0),"",P6/P5-1)</f>
        <v/>
      </c>
      <c r="R6" s="20" t="n">
        <v>91.62</v>
      </c>
      <c r="S6" s="32">
        <f>=IF(OR(R6="",R6=0,R5="",R5=0),"",R6/R5-1)</f>
        <v/>
      </c>
      <c r="T6" s="20" t="n">
        <v>4545.3</v>
      </c>
      <c r="U6" s="32">
        <f>=IF(OR(T6="",T6=0,T5="",T5=0),"",T6/T5-1)</f>
        <v/>
      </c>
      <c r="V6" s="20" t="n">
        <v>65.83</v>
      </c>
      <c r="W6" s="32">
        <f>=IF(OR(V6="",V6=0,V5="",V5=0),"",V6/V5-1)</f>
        <v/>
      </c>
      <c r="X6" s="33" t="inlineStr"/>
      <c r="Y6" s="32">
        <f>=IF(OR(X6="",X6=0,X5="",X5=0),"",X6/X5-1)</f>
        <v/>
      </c>
      <c r="Z6" s="20" t="inlineStr"/>
      <c r="AA6" s="32">
        <f>=IF(OR(Z6="",Z6=0,Z5="",Z5=0),"",Z6/Z5-1)</f>
        <v/>
      </c>
      <c r="AB6" s="20" t="inlineStr"/>
      <c r="AC6" s="32">
        <f>=IF(OR(AB6="",AB6=0,AB5="",AB5=0),"",AB6/AB5-1)</f>
        <v/>
      </c>
      <c r="AD6" s="20" t="inlineStr"/>
      <c r="AE6" s="32">
        <f>=IF(OR(AD6="",AD6=0,AD5="",AD5=0),"",AD6/AD5-1)</f>
        <v/>
      </c>
      <c r="AF6" s="25" t="inlineStr">
        <is>
          <t>—</t>
        </is>
      </c>
      <c r="AG6" s="20" t="n">
        <v>14.82</v>
      </c>
      <c r="AH6" s="32">
        <f>=IF(OR(AG6="",AG6=0,AG5="",AG5=0),"",AG6/AG5-1)</f>
        <v/>
      </c>
      <c r="AI6" s="20" t="inlineStr"/>
      <c r="AJ6" s="20" t="inlineStr"/>
      <c r="AK6" s="20" t="inlineStr"/>
      <c r="AL6" s="0" t="inlineStr">
        <is>
          <t>—</t>
        </is>
      </c>
      <c r="AM6" s="25" t="inlineStr">
        <is>
          <t>盘后FOMC纪要：3票主张加息、偏鹰；明日沃尔玛/阿里/迪尔财报+初请失业金</t>
        </is>
      </c>
      <c r="AN6" s="0" t="inlineStr">
        <is>
          <t>否(VIX跌至周内低点)</t>
        </is>
      </c>
      <c r="AO6" s="25" t="inlineStr">
        <is>
          <t>贝森特宣布长债回购规模翻倍，30Y利率应声回落近10bp，股金银比特币齐涨——市场在交易"政府托底"，但40亿回购对比4320亿单月赤字，买的是创可贴不是解药。</t>
        </is>
      </c>
    </row>
    <row r="7">
      <c r="A7" s="23" t="inlineStr">
        <is>
          <t>2026-08-20</t>
        </is>
      </c>
      <c r="B7" s="18" t="n">
        <v>0.0419</v>
      </c>
      <c r="C7" s="18" t="n">
        <v>0.04705</v>
      </c>
      <c r="D7" s="18" t="n">
        <v>0.05247</v>
      </c>
      <c r="E7" s="31">
        <f>=IF(OR(B7="",B6=""),"",ROUND((B7-B6)*10000,1))</f>
        <v/>
      </c>
      <c r="F7" s="31">
        <f>=IF(OR(C7="",C6=""),"",ROUND((C7-C6)*10000,1))</f>
        <v/>
      </c>
      <c r="G7" s="31">
        <f>=IF(OR(D7="",D6=""),"",ROUND((D7-D6)*10000,1))</f>
        <v/>
      </c>
      <c r="H7" s="31">
        <f>=IF(OR(B7="",C7=""),"",ROUND((C7-B7)*10000,1))</f>
        <v/>
      </c>
      <c r="I7" s="0" t="inlineStr">
        <is>
          <t>陡峭化(长端领涨)</t>
        </is>
      </c>
      <c r="J7" s="20" t="n">
        <v>7641.16</v>
      </c>
      <c r="K7" s="32" t="n">
        <v>-0.0132</v>
      </c>
      <c r="L7" s="32">
        <f>=IF(OR(J7="",J7=0,J6=""),"",J7/J6-1)</f>
        <v/>
      </c>
      <c r="M7" s="32" t="n">
        <v>-0.01</v>
      </c>
      <c r="N7" s="32" t="n">
        <v>-0.0131</v>
      </c>
      <c r="O7" s="25" t="inlineStr">
        <is>
          <t>普跌(道指/罗素领跌)</t>
        </is>
      </c>
      <c r="P7" s="20" t="n">
        <v>86.83</v>
      </c>
      <c r="Q7" s="32">
        <f>=IF(OR(P7="",P7=0,P6="",P6=0),"",P7/P6-1)</f>
        <v/>
      </c>
      <c r="R7" s="20" t="n">
        <v>93.78</v>
      </c>
      <c r="S7" s="32">
        <f>=IF(OR(R7="",R7=0,R6="",R6=0),"",R7/R6-1)</f>
        <v/>
      </c>
      <c r="T7" s="20" t="n">
        <v>4575.1</v>
      </c>
      <c r="U7" s="32">
        <f>=IF(OR(T7="",T7=0,T6="",T6=0),"",T7/T6-1)</f>
        <v/>
      </c>
      <c r="V7" s="20" t="n">
        <v>68.13</v>
      </c>
      <c r="W7" s="32">
        <f>=IF(OR(V7="",V7=0,V6="",V6=0),"",V7/V6-1)</f>
        <v/>
      </c>
      <c r="X7" s="33" t="n">
        <v>14041.5</v>
      </c>
      <c r="Y7" s="32">
        <f>=IF(OR(X7="",X7=0,X6="",X6=0),"",X7/X6-1)</f>
        <v/>
      </c>
      <c r="Z7" s="20" t="n">
        <v>503.25</v>
      </c>
      <c r="AA7" s="32">
        <f>=IF(OR(Z7="",Z7=0,Z6="",Z6=0),"",Z7/Z6-1)</f>
        <v/>
      </c>
      <c r="AB7" s="20" t="n">
        <v>1236.5</v>
      </c>
      <c r="AC7" s="32">
        <f>=IF(OR(AB7="",AB7=0,AB6="",AB6=0),"",AB7/AB6-1)</f>
        <v/>
      </c>
      <c r="AD7" s="20" t="n">
        <v>699.75</v>
      </c>
      <c r="AE7" s="32">
        <f>=IF(OR(AD7="",AD7=0,AD6="",AD6=0),"",AD7/AD6-1)</f>
        <v/>
      </c>
      <c r="AF7" s="25" t="inlineStr">
        <is>
          <t>玉米ProFarmer巡查利多续涨；黑海断供撑小麦</t>
        </is>
      </c>
      <c r="AG7" s="20" t="n">
        <v>16.01</v>
      </c>
      <c r="AH7" s="32">
        <f>=IF(OR(AG7="",AG7=0,AG6="",AG6=0),"",AG7/AG6-1)</f>
        <v/>
      </c>
      <c r="AI7" s="20" t="n">
        <v>14.39</v>
      </c>
      <c r="AJ7" s="20" t="n">
        <v>19.06</v>
      </c>
      <c r="AK7" s="20" t="n">
        <v>22.9</v>
      </c>
      <c r="AL7" s="0" t="inlineStr">
        <is>
          <t>正向(陡峭正价差)</t>
        </is>
      </c>
      <c r="AM7" s="25" t="inlineStr">
        <is>
          <t>明日标普全球8月PMI初值+7月成屋销售；PMI强弱直接影响9月加息预期</t>
        </is>
      </c>
      <c r="AN7" s="0" t="inlineStr">
        <is>
          <t>否(VIX仅16)</t>
        </is>
      </c>
      <c r="AO7" s="25" t="inlineStr">
        <is>
          <t>干预只撑了一天：收益率全线反弹+FOMC纪要放鹰+对伊"史上最严"制裁推油价——市场在交易"回购买不回信任"，股跌而金银油与比特币齐涨，通胀对冲全面转向硬资产。</t>
        </is>
      </c>
    </row>
    <row r="8">
      <c r="A8" s="23" t="inlineStr">
        <is>
          <t>2026-08-21</t>
        </is>
      </c>
      <c r="B8" s="18" t="n">
        <v>0.0424</v>
      </c>
      <c r="C8" s="18" t="n">
        <v>0.0474</v>
      </c>
      <c r="D8" s="18" t="n">
        <v>0.0527</v>
      </c>
      <c r="E8" s="31">
        <f>=IF(OR(B8="",B7=""),"",ROUND((B8-B7)*10000,1))</f>
        <v/>
      </c>
      <c r="F8" s="31">
        <f>=IF(OR(C8="",C7=""),"",ROUND((C8-C7)*10000,1))</f>
        <v/>
      </c>
      <c r="G8" s="31">
        <f>=IF(OR(D8="",D7=""),"",ROUND((D8-D7)*10000,1))</f>
        <v/>
      </c>
      <c r="H8" s="31">
        <f>=IF(OR(B8="",C8=""),"",ROUND((C8-B8)*10000,1))</f>
        <v/>
      </c>
      <c r="I8" s="0" t="inlineStr">
        <is>
          <t>基本走平(平行上移)</t>
        </is>
      </c>
      <c r="J8" s="20" t="n">
        <v>7674.37</v>
      </c>
      <c r="K8" s="32" t="n">
        <v>0.0098</v>
      </c>
      <c r="L8" s="32">
        <f>=IF(OR(J8="",J8=0,J7=""),"",J8/J7-1)</f>
        <v/>
      </c>
      <c r="M8" s="32" t="n">
        <v>0.0044</v>
      </c>
      <c r="N8" s="32" t="n">
        <v>0.008500000000000001</v>
      </c>
      <c r="O8" s="25" t="inlineStr">
        <is>
          <t>道指/罗素(轮动)</t>
        </is>
      </c>
      <c r="P8" s="20" t="n">
        <v>87.06</v>
      </c>
      <c r="Q8" s="32">
        <f>=IF(OR(P8="",P8=0,P7="",P7=0),"",P8/P7-1)</f>
        <v/>
      </c>
      <c r="R8" s="20" t="n">
        <v>94.39</v>
      </c>
      <c r="S8" s="32">
        <f>=IF(OR(R8="",R8=0,R7="",R7=0),"",R8/R7-1)</f>
        <v/>
      </c>
      <c r="T8" s="20" t="n">
        <v>4673.2</v>
      </c>
      <c r="U8" s="32">
        <f>=IF(OR(T8="",T8=0,T7="",T7=0),"",T8/T7-1)</f>
        <v/>
      </c>
      <c r="V8" s="20" t="n">
        <v>69</v>
      </c>
      <c r="W8" s="32">
        <f>=IF(OR(V8="",V8=0,V7="",V7=0),"",V8/V7-1)</f>
        <v/>
      </c>
      <c r="X8" s="33" t="n">
        <v>14180</v>
      </c>
      <c r="Y8" s="32">
        <f>=IF(OR(X8="",X8=0,X7="",X7=0),"",X8/X7-1)</f>
        <v/>
      </c>
      <c r="Z8" s="20" t="n">
        <v>508.25</v>
      </c>
      <c r="AA8" s="32">
        <f>=IF(OR(Z8="",Z8=0,Z7="",Z7=0),"",Z8/Z7-1)</f>
        <v/>
      </c>
      <c r="AB8" s="20" t="n">
        <v>1239.5</v>
      </c>
      <c r="AC8" s="32">
        <f>=IF(OR(AB8="",AB8=0,AB7="",AB7=0),"",AB8/AB7-1)</f>
        <v/>
      </c>
      <c r="AD8" s="20" t="n">
        <v>699.25</v>
      </c>
      <c r="AE8" s="32">
        <f>=IF(OR(AD8="",AD8=0,AD7="",AD7=0),"",AD8/AD7-1)</f>
        <v/>
      </c>
      <c r="AF8" s="25" t="inlineStr">
        <is>
          <t>玉米18个月新高(周+5.2%)</t>
        </is>
      </c>
      <c r="AG8" s="20" t="n">
        <v>15.13</v>
      </c>
      <c r="AH8" s="32">
        <f>=IF(OR(AG8="",AG8=0,AG7="",AG7=0),"",AG8/AG7-1)</f>
        <v/>
      </c>
      <c r="AI8" s="20" t="n">
        <v>12.58</v>
      </c>
      <c r="AJ8" s="20" t="n">
        <v>18.5</v>
      </c>
      <c r="AK8" s="20" t="n">
        <v>22.64</v>
      </c>
      <c r="AL8" s="0" t="inlineStr">
        <is>
          <t>正向(前端贴地)</t>
        </is>
      </c>
      <c r="AM8" s="25" t="inlineStr">
        <is>
          <t>8/26(三)GDP修正+7月PCE+盘后英伟达财报；8/27-29杰克逊霍尔年会(沃什8/28上午演讲)；9/11八月CPI；9/15-16 FOMC(加息25bp在桌面)</t>
        </is>
      </c>
      <c r="AN8" s="0" t="inlineStr">
        <is>
          <t>否(VIX9D 12.58低于现货=事件周完全未对冲)</t>
        </is>
      </c>
      <c r="AO8" s="25" t="inlineStr">
        <is>
          <t>商品全线周涨约5%而股指周跌、实际利率下行+盈亏平衡通胀上行——市场在交易"财政信用折价"下的滞胀式避险：股市轮动自救而非撤离，VIX前端却对事件周毫无对冲。</t>
        </is>
      </c>
    </row>
    <row r="9">
      <c r="A9" s="23" t="inlineStr">
        <is>
          <t>2026-08-24</t>
        </is>
      </c>
      <c r="B9" s="18" t="n">
        <v>0.04236</v>
      </c>
      <c r="C9" s="18" t="n">
        <v>0.04702</v>
      </c>
      <c r="D9" s="18" t="n">
        <v>0.05231</v>
      </c>
      <c r="E9" s="31">
        <f>=IF(OR(B9="",B8=""),"",ROUND((B9-B8)*10000,1))</f>
        <v/>
      </c>
      <c r="F9" s="31">
        <f>=IF(OR(C9="",C8=""),"",ROUND((C9-C8)*10000,1))</f>
        <v/>
      </c>
      <c r="G9" s="31">
        <f>=IF(OR(D9="",D8=""),"",ROUND((D9-D8)*10000,1))</f>
        <v/>
      </c>
      <c r="H9" s="31">
        <f>=IF(OR(B9="",C9=""),"",ROUND((C9-B9)*10000,1))</f>
        <v/>
      </c>
      <c r="I9" s="0" t="inlineStr">
        <is>
          <t>整体下移+陡峭化(30Y跌4bp最大)</t>
        </is>
      </c>
      <c r="J9" s="20" t="n">
        <v>7652.86</v>
      </c>
      <c r="K9" s="32" t="n">
        <v>0.0026</v>
      </c>
      <c r="L9" s="32">
        <f>=IF(OR(J9="",J9=0,J8=""),"",J9/J8-1)</f>
        <v/>
      </c>
      <c r="M9" s="32" t="n">
        <v>-0.0076</v>
      </c>
      <c r="N9" s="32" t="n">
        <v>-0.0076</v>
      </c>
      <c r="O9" s="25" t="inlineStr">
        <is>
          <t>道指领涨(必需消费+1.76%/金融+1.24%);纳指7连阴</t>
        </is>
      </c>
      <c r="P9" s="20" t="n">
        <v>85.01000000000001</v>
      </c>
      <c r="Q9" s="32">
        <f>=IF(OR(P9="",P9=0,P8="",P8=0),"",P9/P8-1)</f>
        <v/>
      </c>
      <c r="R9" s="20" t="n">
        <v>92.17</v>
      </c>
      <c r="S9" s="32" t="n">
        <v>-0.0235</v>
      </c>
      <c r="T9" s="20" t="n">
        <v>4710</v>
      </c>
      <c r="U9" s="32">
        <f>=IF(OR(T9="",T9=0,T8="",T8=0),"",T9/T8-1)</f>
        <v/>
      </c>
      <c r="V9" s="20" t="n">
        <v>68.97</v>
      </c>
      <c r="W9" s="32">
        <f>=IF(OR(V9="",V9=0,V8="",V8=0),"",V9/V8-1)</f>
        <v/>
      </c>
      <c r="X9" s="33" t="n">
        <v>14273</v>
      </c>
      <c r="Y9" s="32">
        <f>=IF(OR(X9="",X9=0,X8="",X8=0),"",X9/X8-1)</f>
        <v/>
      </c>
      <c r="Z9" s="20" t="n">
        <v>515</v>
      </c>
      <c r="AA9" s="32">
        <f>=IF(OR(Z9="",Z9=0,Z8="",Z8=0),"",Z9/Z8-1)</f>
        <v/>
      </c>
      <c r="AB9" s="20" t="n">
        <v>1225.5</v>
      </c>
      <c r="AC9" s="32">
        <f>=IF(OR(AB9="",AB9=0,AB8="",AB8=0),"",AB9/AB8-1)</f>
        <v/>
      </c>
      <c r="AD9" s="20" t="n">
        <v>700.75</v>
      </c>
      <c r="AE9" s="32">
        <f>=IF(OR(AD9="",AD9=0,AD8="",AD8=0),"",AD9/AD8-1)</f>
        <v/>
      </c>
      <c r="AF9" s="25" t="inlineStr">
        <is>
          <t>玉米创3年新高(Pro Farmer产量利多);大豆-1.13%背离</t>
        </is>
      </c>
      <c r="AG9" s="20" t="n">
        <v>15.85</v>
      </c>
      <c r="AH9" s="32">
        <f>=IF(OR(AG9="",AG9=0,AG8="",AG8=0),"",AG9/AG8-1)</f>
        <v/>
      </c>
      <c r="AI9" s="20" t="n">
        <v>14.07</v>
      </c>
      <c r="AJ9" s="20" t="n">
        <v>18.56</v>
      </c>
      <c r="AK9" s="20" t="n">
        <v>22.69</v>
      </c>
      <c r="AL9" s="0" t="inlineStr">
        <is>
          <t>正向(contango);VIX9D隔夜+11.84%追现货</t>
        </is>
      </c>
      <c r="AM9" s="25" t="inlineStr">
        <is>
          <t>8/26(三)Q2 GDP修正+7月PCE/核心PCE+盘后英伟达财报;8/27-29杰克逊霍尔;8/28(五)22:00美东沃什首秀+初请+密歇根消费者信心终值</t>
        </is>
      </c>
      <c r="AN9" s="0" t="inlineStr">
        <is>
          <t>是(VIX9D+11.84%反映事件周对冲已开仓)</t>
        </is>
      </c>
      <c r="AO9" s="25" t="inlineStr">
        <is>
          <t>油价单日-2.4%与VIX+4.8%反向、VIX9D飙11.84%——市场从滞胀避险切到"事件周双重下注":利率端押通胀回落(10Y-4bp),波动率端为PCE/GDP/英伟达/沃什同时加保,资金切防御(道指+必需消费/金融)、科技七连阴。</t>
        </is>
      </c>
    </row>
    <row r="10">
      <c r="A10" s="23" t="inlineStr">
        <is>
          <t>2026-08-25</t>
        </is>
      </c>
      <c r="B10" s="18" t="n">
        <v>0.04234</v>
      </c>
      <c r="C10" s="18" t="n">
        <v>0.04696</v>
      </c>
      <c r="D10" s="18" t="n">
        <v>0.05225</v>
      </c>
      <c r="E10" s="31">
        <f>=IF(OR(B10="",B9=""),"",ROUND((B10-B9)*10000,1))</f>
        <v/>
      </c>
      <c r="F10" s="31">
        <f>=IF(OR(C10="",C9=""),"",ROUND((C10-C9)*10000,1))</f>
        <v/>
      </c>
      <c r="G10" s="31">
        <f>=IF(OR(D10="",D9=""),"",ROUND((D10-D9)*10000,1))</f>
        <v/>
      </c>
      <c r="H10" s="31">
        <f>=IF(OR(B10="",C10=""),"",ROUND((C10-B10)*10000,1))</f>
        <v/>
      </c>
      <c r="I10" s="0" t="inlineStr">
        <is>
          <t>8/24 settled整体下移+陡峭化(30Y领跌4.6bp);8/25亚洲盘续稳2Y在4.234%</t>
        </is>
      </c>
      <c r="J10" s="20" t="n">
        <v>7652.86</v>
      </c>
      <c r="K10" s="32" t="n">
        <v>0.0011</v>
      </c>
      <c r="L10" s="32">
        <f>=IF(OR(J10="",J10=0,J9=""),"",J10/J9-1)</f>
        <v/>
      </c>
      <c r="M10" s="32" t="n">
        <v>0.0049</v>
      </c>
      <c r="N10" s="32" t="n">
        <v>0.002</v>
      </c>
      <c r="O10" s="25" t="inlineStr">
        <is>
          <t>8/25盘前:纳指期货+0.49%、存储芯片(SK海力士/闪迪/美光/希捷)+1%+/光通信+1%+,科技-存储反弹;8/24尾盘防御(道指+0.26%/必需消费+1.76%/金融+1.24%/英伟达-2.91%七连阴)未撤</t>
        </is>
      </c>
      <c r="P10" s="20" t="n">
        <v>85.01000000000001</v>
      </c>
      <c r="Q10" s="32">
        <f>=IF(OR(P10="",P10=0,P9="",P9=0),"",P10/P9-1)</f>
        <v/>
      </c>
      <c r="R10" s="20" t="n">
        <v>92.17</v>
      </c>
      <c r="S10" s="32">
        <f>=IF(OR(R10="",R10=0,R9="",R9=0),"",R10/R9-1)</f>
        <v/>
      </c>
      <c r="T10" s="20" t="n">
        <v>4710</v>
      </c>
      <c r="U10" s="32">
        <f>=IF(OR(T10="",T10=0,T9="",T9=0),"",T10/T9-1)</f>
        <v/>
      </c>
      <c r="V10" s="20" t="n">
        <v>68.97</v>
      </c>
      <c r="W10" s="32">
        <f>=IF(OR(V10="",V10=0,V9="",V9=0),"",V10/V9-1)</f>
        <v/>
      </c>
      <c r="X10" s="33" t="n">
        <v>14245</v>
      </c>
      <c r="Y10" s="32">
        <f>=IF(OR(X10="",X10=0,X9="",X9=0),"",X10/X9-1)</f>
        <v/>
      </c>
      <c r="Z10" s="20" t="n">
        <v>515</v>
      </c>
      <c r="AA10" s="32">
        <f>=IF(OR(Z10="",Z10=0,Z9="",Z9=0),"",Z10/Z9-1)</f>
        <v/>
      </c>
      <c r="AB10" s="20" t="n">
        <v>1225.5</v>
      </c>
      <c r="AC10" s="32">
        <f>=IF(OR(AB10="",AB10=0,AB9="",AB9=0),"",AB10/AB9-1)</f>
        <v/>
      </c>
      <c r="AD10" s="20" t="n">
        <v>700.75</v>
      </c>
      <c r="AE10" s="32">
        <f>=IF(OR(AD10="",AD10=0,AD9="",AD9=0),"",AD10/AD9-1)</f>
        <v/>
      </c>
      <c r="AF10" s="25" t="inlineStr">
        <is>
          <t>玉米创3年新高(+1.28%,Pro Farmer巡查产量低于USDA);大豆-1.13%豆/玉背离持续;小麦+0.21%平稳</t>
        </is>
      </c>
      <c r="AG10" s="20" t="n">
        <v>15.85</v>
      </c>
      <c r="AH10" s="32">
        <f>=IF(OR(AG10="",AG10=0,AG9="",AG9=0),"",AG10/AG9-1)</f>
        <v/>
      </c>
      <c r="AI10" s="20" t="n">
        <v>14.07</v>
      </c>
      <c r="AJ10" s="20" t="n">
        <v>18.56</v>
      </c>
      <c r="AK10" s="20" t="n">
        <v>22.69</v>
      </c>
      <c r="AL10" s="0" t="inlineStr">
        <is>
          <t>正向(contango);VIX9D 14.07&lt;现货15.85;昨日单日VIX9D+11.84%异常仍未消化,事件周对冲充分</t>
        </is>
      </c>
      <c r="AM10" s="25" t="inlineStr">
        <is>
          <t>8/25(周二)10AM ET:8月消费者信心+新屋销售+Case-Shiller+ADP+Durable Goods+Richmond Fed;8/26(周三)8:30AM ET:Q2 GDP二次估值+7月PCE/核心PCE+耐用品订单+个人收支;盘后英伟达(NVDA)Q2FY27+Salesforce(CRM)+CrowdStrike(CRWD)+惠普(HPQ);8/27(周四):Jackson Hole年会开幕+初请失业金+Pending Home Sales+Marvell(MRVL)财报;8/28(周五)10AM ET:Warsh Jackson Hole首秀+非农基准修正+密歇根信心终值+东京CPI;8/29:Jackson Hole闭幕</t>
        </is>
      </c>
      <c r="AN10" s="0" t="inlineStr">
        <is>
          <t>是(VIX9D单日+11.84%、VIX1Y 22.69远期溢价,事件周(PCE/GDP/NVDA/Warsh)对冲已开仓且未撤)</t>
        </is>
      </c>
      <c r="AO10" s="25" t="inlineStr">
        <is>
          <t>8/24"事件周双重下注"(油价-2.4%对VIX+4.8%)的格局未根本扭转:8/25盘前纳指期货+0.49%、存储芯片+1%+对油价/金/银小幅回吐做risk-on测试,但仓位未真正出清——真实仓位仍待8/26 PCE/英伟达、8/28 Warsh三连事件洗牌,防御性对冲与事件博弈并存。</t>
        </is>
      </c>
    </row>
    <row r="11">
      <c r="A11" s="23" t="inlineStr">
        <is>
          <t>2026-08-25</t>
        </is>
      </c>
      <c r="B11" s="18" t="n">
        <v>0.04181</v>
      </c>
      <c r="C11" s="18" t="n">
        <v>0.0463</v>
      </c>
      <c r="D11" s="18" t="n">
        <v>0.05167</v>
      </c>
      <c r="E11" s="31">
        <f>=IF(OR(B11="",B10=""),"",ROUND((B11-B10)*10000,1))</f>
        <v/>
      </c>
      <c r="F11" s="31">
        <f>=IF(OR(C11="",C10=""),"",ROUND((C11-C10)*10000,1))</f>
        <v/>
      </c>
      <c r="G11" s="31">
        <f>=IF(OR(D11="",D10=""),"",ROUND((D11-D10)*10000,1))</f>
        <v/>
      </c>
      <c r="H11" s="31">
        <f>=IF(OR(B11="",C11=""),"",ROUND((C11-B11)*10000,1))</f>
        <v/>
      </c>
      <c r="I11" s="0" t="inlineStr">
        <is>
          <t>整体下移+微熊平(10Y领跌-6.6bp/30Y-5.8bp/2Y-5.2bp;2s10s -1.7bp至44.15bp收窄走平)</t>
        </is>
      </c>
      <c r="J11" s="20" t="n">
        <v>7677.28</v>
      </c>
      <c r="K11" s="32" t="n">
        <v>0.003</v>
      </c>
      <c r="L11" s="32">
        <f>=IF(OR(J11="",J11=0,J10=""),"",J11/J10-1)</f>
        <v/>
      </c>
      <c r="M11" s="32" t="n">
        <v>0.0066</v>
      </c>
      <c r="N11" s="32" t="n">
        <v>0.005</v>
      </c>
      <c r="O11" s="25" t="inlineStr">
        <is>
          <t>纳指领涨(+0.66%);科技XLK +0.96%/通信服务XLC +0.77%/医疗XLV +0.34%;半导体/光通信/存储暴涨(Lumentum+6.67%/AMD+4.91%/MRVL+4.84%/NVDA+2.19%止七连跌/MU+2.48%/SK+2.68%/费半+1.44%);能源XLE -1.65% / 必消XLP -1.06%领跌（地缘缓和+油价暴跌驱动）</t>
        </is>
      </c>
      <c r="P11" s="20" t="n">
        <v>82.36</v>
      </c>
      <c r="Q11" s="32">
        <f>=IF(OR(P11="",P11=0,P10="",P10=0),"",P11/P10-1)</f>
        <v/>
      </c>
      <c r="R11" s="20" t="n">
        <v>88.58</v>
      </c>
      <c r="S11" s="32">
        <f>=IF(OR(R11="",R11=0,R10="",R10=0),"",R11/R10-1)</f>
        <v/>
      </c>
      <c r="T11" s="20" t="n">
        <v>4715.9</v>
      </c>
      <c r="U11" s="32">
        <f>=IF(OR(T11="",T11=0,T10="",T10=0),"",T11/T10-1)</f>
        <v/>
      </c>
      <c r="V11" s="20" t="n">
        <v>68.63</v>
      </c>
      <c r="W11" s="32">
        <f>=IF(OR(V11="",V11=0,V10="",V10=0),"",V11/V10-1)</f>
        <v/>
      </c>
      <c r="X11" s="33" t="n">
        <v>14324.5</v>
      </c>
      <c r="Y11" s="32">
        <f>=IF(OR(X11="",X11=0,X10="",X10=0),"",X11/X10-1)</f>
        <v/>
      </c>
      <c r="Z11" s="20" t="n">
        <v>524.25</v>
      </c>
      <c r="AA11" s="32">
        <f>=IF(OR(Z11="",Z11=0,Z10="",Z10=0),"",Z11/Z10-1)</f>
        <v/>
      </c>
      <c r="AB11" s="20" t="n">
        <v>1238.75</v>
      </c>
      <c r="AC11" s="32">
        <f>=IF(OR(AB11="",AB11=0,AB10="",AB10=0),"",AB11/AB10-1)</f>
        <v/>
      </c>
      <c r="AD11" s="20" t="n">
        <v>704.5</v>
      </c>
      <c r="AE11" s="32">
        <f>=IF(OR(AD11="",AD11=0,AD10="",AD10=0),"",AD11/AD10-1)</f>
        <v/>
      </c>
      <c r="AF11" s="25" t="inlineStr">
        <is>
          <t>谷物全线上行(+1.70%/+1.18%/+0.71%);玉米连续5日创3年新高(Pro Farmer巡查产量低于USDA预期)+豆-玉背离收敛;最大单日+1.70%未超3%阈值</t>
        </is>
      </c>
      <c r="AG11" s="20" t="n">
        <v>15.46</v>
      </c>
      <c r="AH11" s="32">
        <f>=IF(OR(AG11="",AG11=0,AG10="",AG10=0),"",AG11/AG10-1)</f>
        <v/>
      </c>
      <c r="AI11" s="20" t="n">
        <v>13.45</v>
      </c>
      <c r="AJ11" s="20" t="n">
        <v>18.21</v>
      </c>
      <c r="AK11" s="20" t="n">
        <v>22.61</v>
      </c>
      <c r="AL11" s="0" t="inlineStr">
        <is>
          <t>contango(9D13.45&lt;现15.46&lt;3M18.21&lt;6M20.84&lt;1Y22.61);8/24 +11.84%异动已大幅unwind(-4.41%);曲线整体位移方向：前端下/后端稳(1Y -0.35%几乎没动),事件对冲在前端撤、远端hedge仍在</t>
        </is>
      </c>
      <c r="AM11" s="25" t="inlineStr">
        <is>
          <t>8/26(三)8:30 ET Q2 GDP二次估值+7月PCE/核心PCE(决定降息空间)+耐用品订单+个人收支;盘后 NVDA Q2 FY27(共识rev $91.9B/EPS $2.08/隐含$324.5B市值波动)+CRM+CRWD+HPQ;DKS 8/25盘前已大涨带动零售;8/27(四)Jackson Hole开幕+初请失业金+Pending Home Sales;盘后 MRVL/ADSK/BILI/DG/DLTR/WDAY;8/28(五)10AM ET Warsh Jackson Hole首秀+非农基准修正初值+密歇根信心终值+东京 8月CPI</t>
        </is>
      </c>
      <c r="AN11" s="0" t="inlineStr">
        <is>
          <t>部分(现15.46/9D13.45大幅unwind/1Y 22.61 仍高出中位19.5=+3.1pts;前端hedge撤了、后端hedge留着)</t>
        </is>
      </c>
      <c r="AO11" s="25" t="inlineStr">
        <is>
          <t>昨夜主轴=地缘缓和+鸽派重定价+risk-on三连击:双油暴跌 WTI -3.12%/Brent -3.89%(年内最大单日、地缘溢价回吐+库存三连增+获利了结)、美债全线走低 10Y -6.6bp/30Y -5.8bp/2Y -5.2bp(10Y领跌、2s10s 44.15bp微熊平)→风险偏好全开、纳指 +0.66%领涨、芯片股(AMD+4.91%/MRVL+4.84%/Lumentum+6.67%/NVDA+2.19%止七连跌)/光通信/storage/AI全线反弹、板块从8/24防御领涨反转成成长领涨;信用端温和配合:JNK 96.20 +0.26%/盘后96.14 -0.06%量稀/HYG +0.28%/TLT +1.10%=risk-on+主权鸽派同现的carry trade环境;VIX曲线整体位移:现15.46 -2.46%/9D13.45 -4.41%大幅unwind/1Y22.61 -0.35%几乎没动=前端hedge撤、后端hedge还在,留有二次对冲余地;明日亚盘3条绕路:①避免追高NVDA财报前抢筹 ②Brent 8/25盘后已破86(累计-6.6%)→亚盘能源股进一步回落空间 ③黄金4715.9/现货4658.9接近花旗$4800目标位、不追高但事件hedge价值上升;底仓逻辑:carry trade+期权sweep重置的反弹、不是趋势性risk-off setup,但8/26 PCE+8/28 Warsh三连事件未到、仓位上限7成。</t>
        </is>
      </c>
    </row>
    <row r="12">
      <c r="A12" s="23" t="inlineStr">
        <is>
          <t>2026-08-26</t>
        </is>
      </c>
      <c r="B12" s="18" t="inlineStr"/>
      <c r="C12" s="18" t="inlineStr"/>
      <c r="D12" s="18" t="inlineStr"/>
      <c r="E12" s="31">
        <f>=IF(OR(B12="",B11=""),"",ROUND((B12-B11)*10000,1))</f>
        <v/>
      </c>
      <c r="F12" s="31">
        <f>=IF(OR(C12="",C11=""),"",ROUND((C12-C11)*10000,1))</f>
        <v/>
      </c>
      <c r="G12" s="31">
        <f>=IF(OR(D12="",D11=""),"",ROUND((D12-D11)*10000,1))</f>
        <v/>
      </c>
      <c r="H12" s="31">
        <f>=IF(OR(B12="",C12=""),"",ROUND((C12-B12)*10000,1))</f>
        <v/>
      </c>
      <c r="I12" s="0" t="inlineStr">
        <is>
          <t>8/26 7:30AM EDT 盘前:30Y -4bp 至5.181% 领跌,长端鸽派 term premium unwind;2s10s微熊平</t>
        </is>
      </c>
      <c r="J12" s="20" t="inlineStr"/>
      <c r="K12" s="32" t="n">
        <v>0.0007</v>
      </c>
      <c r="L12" s="32">
        <f>=IF(OR(J12="",J12=0,J11=""),"",J12/J11-1)</f>
        <v/>
      </c>
      <c r="M12" s="32" t="n">
        <v>-0.002</v>
      </c>
      <c r="N12" s="32" t="n">
        <v>-0.0001</v>
      </c>
      <c r="O12" s="25" t="inlineStr">
        <is>
          <t>8/26盘前防御领涨:YM+0.07% &gt; ES-0.07% &gt; NQ-0.20% &gt; RTY≈0;油价续-2.7%鸽小盘+金高位获利兑现</t>
        </is>
      </c>
      <c r="P12" s="20" t="n">
        <v>80.15000000000001</v>
      </c>
      <c r="Q12" s="32">
        <f>=IF(OR(P12="",P12=0,P11="",P11=0),"",P12/P11-1)</f>
        <v/>
      </c>
      <c r="R12" s="20" t="inlineStr"/>
      <c r="S12" s="32">
        <f>=IF(OR(R12="",R12=0,R11="",R11=0),"",R12/R11-1)</f>
        <v/>
      </c>
      <c r="T12" s="20" t="inlineStr"/>
      <c r="U12" s="32">
        <f>=IF(OR(T12="",T12=0,T11="",T11=0),"",T12/T11-1)</f>
        <v/>
      </c>
      <c r="V12" s="20" t="inlineStr"/>
      <c r="W12" s="32">
        <f>=IF(OR(V12="",V12=0,V11="",V11=0),"",V12/V11-1)</f>
        <v/>
      </c>
      <c r="X12" s="33" t="inlineStr"/>
      <c r="Y12" s="32">
        <f>=IF(OR(X12="",X12=0,X11="",X11=0),"",X12/X11-1)</f>
        <v/>
      </c>
      <c r="Z12" s="20" t="inlineStr"/>
      <c r="AA12" s="32">
        <f>=IF(OR(Z12="",Z12=0,Z11="",Z11=0),"",Z12/Z11-1)</f>
        <v/>
      </c>
      <c r="AB12" s="20" t="inlineStr"/>
      <c r="AC12" s="32">
        <f>=IF(OR(AB12="",AB12=0,AB11="",AB11=0),"",AB12/AB11-1)</f>
        <v/>
      </c>
      <c r="AD12" s="20" t="inlineStr"/>
      <c r="AE12" s="32">
        <f>=IF(OR(AD12="",AD12=0,AD11="",AD11=0),"",AD12/AD11-1)</f>
        <v/>
      </c>
      <c r="AF12" s="25" t="inlineStr"/>
      <c r="AG12" s="20" t="inlineStr"/>
      <c r="AH12" s="32">
        <f>=IF(OR(AG12="",AG12=0,AG11="",AG11=0),"",AG12/AG11-1)</f>
        <v/>
      </c>
      <c r="AI12" s="20" t="n">
        <v>13</v>
      </c>
      <c r="AJ12" s="20" t="inlineStr"/>
      <c r="AK12" s="20" t="inlineStr"/>
      <c r="AL12" s="0" t="inlineStr">
        <is>
          <t>contango(9D 13.0&lt;现 15.49&lt;3M~18.2&lt;1Y 22.61);9D 较昨13.45再unwind(前端hedge再撤光),远端1Y仍溢价</t>
        </is>
      </c>
      <c r="AM12" s="25" t="inlineStr">
        <is>
          <t>今晚(8/26)8:30ET:7月PCE/核心PCE+Q2 GDP二次估值+耐用品(主菜事件,核心PCE预期2.9%YoY);盘后NVIDIA/CRM/CRWD/HPQ/WDAY/OKTA财报;8/28(五)22:00 GMT+8 Warsh Jackson Hole首秀(上任后首次主旨演讲)</t>
        </is>
      </c>
      <c r="AN12" s="0" t="inlineStr">
        <is>
          <t>部分(VIX9D由昨13.45再unwind至13.0=前端hedge再撤;1Y 22.61远端仍高位=尾部hedge留)</t>
        </is>
      </c>
      <c r="AO12" s="25" t="inlineStr">
        <is>
          <t>🟡mixed(鸽cost/small-cap防御):①VIX9D≈13.0低位延续 ②US30Y-4bp至5.18% ③RTY/SPX~0.86。PCE≤2.9%则上膛NQ多,否则空仓等闭市再看NVDA。</t>
        </is>
      </c>
    </row>
    <row r="13">
      <c r="A13" s="23" t="inlineStr">
        <is>
          <t>2026-08-26</t>
        </is>
      </c>
      <c r="B13" s="18" t="n">
        <v>0.0419</v>
      </c>
      <c r="C13" s="18" t="n">
        <v>0.0466</v>
      </c>
      <c r="D13" s="18" t="n">
        <v>0.0518</v>
      </c>
      <c r="E13" s="31">
        <f>=IF(OR(B13="",B12=""),"",ROUND((B13-B12)*10000,1))</f>
        <v/>
      </c>
      <c r="F13" s="31">
        <f>=IF(OR(C13="",C12=""),"",ROUND((C13-C12)*10000,1))</f>
        <v/>
      </c>
      <c r="G13" s="31">
        <f>=IF(OR(D13="",D12=""),"",ROUND((D13-D12)*10000,1))</f>
        <v/>
      </c>
      <c r="H13" s="31">
        <f>=IF(OR(B13="",C13=""),"",ROUND((C13-B13)*10000,1))</f>
        <v/>
      </c>
      <c r="I13" s="0" t="inlineStr">
        <is>
          <t>收益率集体小幅上涨+曲线陡峭化(10Y +3bp/2Y +1bp/30Y +1bp;2s10s +1bp至约47bp;PCE粘性提振加息预期)</t>
        </is>
      </c>
      <c r="J13" s="20" t="n">
        <v>7675.7</v>
      </c>
      <c r="K13" s="32" t="n">
        <v>-0.0021</v>
      </c>
      <c r="L13" s="32">
        <f>=IF(OR(J13="",J13=0,J12=""),"",J13/J12-1)</f>
        <v/>
      </c>
      <c r="M13" s="32" t="n">
        <v>-0.0008</v>
      </c>
      <c r="N13" s="32" t="n">
        <v>-0.0014</v>
      </c>
      <c r="O13" s="25" t="inlineStr">
        <is>
          <t>道指跌幅最大(-0.21%);工业(+1.07%)/公用事业(+0.47%)领涨,医疗(-1.01%)/通信服务(-0.71%)领跌</t>
        </is>
      </c>
      <c r="P13" s="20" t="n">
        <v>82.23</v>
      </c>
      <c r="Q13" s="32">
        <f>=IF(OR(P13="",P13=0,P12="",P12=0),"",P13/P12-1)</f>
        <v/>
      </c>
      <c r="R13" s="20" t="n">
        <v>87.84</v>
      </c>
      <c r="S13" s="32">
        <f>=IF(OR(R13="",R13=0,R12="",R12=0),"",R13/R12-1)</f>
        <v/>
      </c>
      <c r="T13" s="20" t="n">
        <v>4647.8</v>
      </c>
      <c r="U13" s="32">
        <f>=IF(OR(T13="",T13=0,T12="",T12=0),"",T13/T12-1)</f>
        <v/>
      </c>
      <c r="V13" s="20" t="n">
        <v>68.08499999999999</v>
      </c>
      <c r="W13" s="32">
        <f>=IF(OR(V13="",V13=0,V12="",V12=0),"",V13/V12-1)</f>
        <v/>
      </c>
      <c r="X13" s="33" t="n">
        <v>14232.5</v>
      </c>
      <c r="Y13" s="32">
        <f>=IF(OR(X13="",X13=0,X12="",X12=0),"",X13/X12-1)</f>
        <v/>
      </c>
      <c r="Z13" s="20" t="n">
        <v>536.5</v>
      </c>
      <c r="AA13" s="32">
        <f>=IF(OR(Z13="",Z13=0,Z12="",Z12=0),"",Z13/Z12-1)</f>
        <v/>
      </c>
      <c r="AB13" s="20" t="n">
        <v>1266</v>
      </c>
      <c r="AC13" s="32">
        <f>=IF(OR(AB13="",AB13=0,AB12="",AB12=0),"",AB13/AB12-1)</f>
        <v/>
      </c>
      <c r="AD13" s="20" t="n">
        <v>748.25</v>
      </c>
      <c r="AE13" s="32">
        <f>=IF(OR(AD13="",AD13=0,AD12="",AD12=0),"",AD13/AD12-1)</f>
        <v/>
      </c>
      <c r="AF13" s="25" t="inlineStr">
        <is>
          <t>谷物全线大涨:玉米+2.34%至536.50￠(作物评级下滑)/大豆+1.96%至1266.00￠(出口需求)/小麦+6.40%至748.25￠(黑海中断)</t>
        </is>
      </c>
      <c r="AG13" s="20" t="n">
        <v>15.21</v>
      </c>
      <c r="AH13" s="32">
        <f>=IF(OR(AG13="",AG13=0,AG12="",AG12=0),"",AG13/AG12-1)</f>
        <v/>
      </c>
      <c r="AI13" s="20" t="n">
        <v>13.55</v>
      </c>
      <c r="AJ13" s="20" t="n">
        <v>17.99</v>
      </c>
      <c r="AK13" s="20" t="n">
        <v>22.6</v>
      </c>
      <c r="AL13" s="0" t="inlineStr">
        <is>
          <t>8/26 PCE/GDP + 盘后NVDA Q2 FY27 + 8/27 Jackson Hole开幕 + 8/28 Warsh首秀</t>
        </is>
      </c>
      <c r="AM13" s="25" t="inlineStr">
        <is>
          <t>7月整体PCE YoY 3.7%(超预期3.6%)、核心PCE MoM 0.2%/YoY 3.3%符合预期;Q2 GDP二估1.5%不变;个人收入+0.4%、支出+0.2%;盘后NVDA Q2营收$96.2B超预期、Q3指引$108B;Jackson Hole开幕,Warsh周五首秀</t>
        </is>
      </c>
      <c r="AN13" s="0" t="inlineStr">
        <is>
          <t>谨慎/粘性通胀+事件等待;NVDA财报后AH由跌转涨+4%;前端VIX calm但VIX1Y仍偏高</t>
        </is>
      </c>
      <c r="AO13" s="25" t="inlineStr">
        <is>
          <t>8/26 PCE日美股微跌、债收益率反弹、曲线略陡:SPX -0.02%收7675.70、道指-0.21%领跌,工业/公用事业领涨,医疗/通信服务领跌;PCE整体YoY 3.7%超预期、核心符合,市场重燃「高利率更久」担忧,10Y +3bp;NVDA盘后财报营收$96.2B/Q3指引$108B双双beat,AH由跌转涨约+4%;原油续跌(WTI -0.16%/Brent -0.84%)、黄金COMEX -0.99%/铜-0.64%;谷物大涨小麦+6.4%;VIX 15.21(-1.55%)但VIX1Y 22.60仍高,尾部对冲未撤。战术:不追事件前仓位,关注Jackson Hole/Warsh定调。</t>
        </is>
      </c>
    </row>
    <row r="14">
      <c r="A14" s="35" t="n">
        <v>46261</v>
      </c>
      <c r="B14" s="18" t="inlineStr"/>
      <c r="C14" s="18" t="inlineStr"/>
      <c r="D14" s="18" t="inlineStr"/>
      <c r="E14" s="31">
        <f>=IF(OR(B14="",B13=""),"",ROUND((B14-B13)*10000,1))</f>
        <v/>
      </c>
      <c r="F14" s="31">
        <f>=IF(OR(C14="",C13=""),"",ROUND((C14-C13)*10000,1))</f>
        <v/>
      </c>
      <c r="G14" s="31">
        <f>=IF(OR(D14="",D13=""),"",ROUND((D14-D13)*10000,1))</f>
        <v/>
      </c>
      <c r="H14" s="31">
        <f>=IF(OR(B14="",C14=""),"",ROUND((C14-B14)*10000,1))</f>
        <v/>
      </c>
      <c r="I14" s="0" t="inlineStr">
        <is>
          <t>8/27 7:30AM EDT 盘前: 30Y 5.17%(~-1bp vs 昨5.169%) 基本持平; 10Y 4.652%(-1.2bp); 2Y 4.21%(-1bp); 2s10s ~43bp稳; PCE后加息预期升温(9月概率42%)但利率端消化未续涨</t>
        </is>
      </c>
      <c r="J14" s="20" t="inlineStr"/>
      <c r="K14" s="32" t="inlineStr"/>
      <c r="L14" s="32">
        <f>=IF(OR(J14="",J14=0,J13=""),"",J14/J13-1)</f>
        <v/>
      </c>
      <c r="M14" s="32" t="n">
        <v>0.0074</v>
      </c>
      <c r="N14" s="32" t="n">
        <v>-0.0007</v>
      </c>
      <c r="O14" s="25" t="inlineStr">
        <is>
          <t>8/27盘前: NQ+0.74%&gt;SPX+0.36%&gt;Dow+0.25%&gt;RTY-0.07%; NVDA AH+4.65%(Q2 $96.2B/Q3指引$108B双beat)+CRM+13%+OKTA+20%驱动科技反弹; 存储芯片WDC+3.4%/SNDK+4.1%/SK+4.4%; 小盘滞涨广度不足</t>
        </is>
      </c>
      <c r="P14" s="20" t="n">
        <v>81.09999999999999</v>
      </c>
      <c r="Q14" s="32">
        <f>=IF(OR(P14="",P14=0,P13="",P13=0),"",P14/P13-1)</f>
        <v/>
      </c>
      <c r="R14" s="20" t="inlineStr"/>
      <c r="S14" s="32">
        <f>=IF(OR(R14="",R14=0,R13="",R13=0),"",R14/R13-1)</f>
        <v/>
      </c>
      <c r="T14" s="20" t="inlineStr"/>
      <c r="U14" s="32">
        <f>=IF(OR(T14="",T14=0,T13="",T13=0),"",T14/T13-1)</f>
        <v/>
      </c>
      <c r="V14" s="20" t="inlineStr"/>
      <c r="W14" s="32">
        <f>=IF(OR(V14="",V14=0,V13="",V13=0),"",V14/V13-1)</f>
        <v/>
      </c>
      <c r="X14" s="33" t="inlineStr"/>
      <c r="Y14" s="32">
        <f>=IF(OR(X14="",X14=0,X13="",X13=0),"",X14/X13-1)</f>
        <v/>
      </c>
      <c r="Z14" s="20" t="inlineStr"/>
      <c r="AA14" s="32">
        <f>=IF(OR(Z14="",Z14=0,Z13="",Z13=0),"",Z14/Z13-1)</f>
        <v/>
      </c>
      <c r="AB14" s="20" t="inlineStr"/>
      <c r="AC14" s="32">
        <f>=IF(OR(AB14="",AB14=0,AB13="",AB13=0),"",AB14/AB13-1)</f>
        <v/>
      </c>
      <c r="AD14" s="20" t="inlineStr"/>
      <c r="AE14" s="32">
        <f>=IF(OR(AD14="",AD14=0,AD13="",AD13=0),"",AD14/AD13-1)</f>
        <v/>
      </c>
      <c r="AF14" s="25" t="inlineStr"/>
      <c r="AG14" s="20" t="inlineStr"/>
      <c r="AH14" s="32">
        <f>=IF(OR(AG14="",AG14=0,AG13="",AG13=0),"",AG14/AG13-1)</f>
        <v/>
      </c>
      <c r="AI14" s="20" t="n">
        <v>13</v>
      </c>
      <c r="AJ14" s="20" t="inlineStr"/>
      <c r="AK14" s="20" t="inlineStr"/>
      <c r="AL14" s="0" t="inlineStr">
        <is>
          <t>contango(9D 13.0&lt;现14.85&lt;3M~18&lt;1Y~22.4); 9D较昨13.55续unwind(前端hedge再撤); 远端1Y~22.4仍溢价(尾部hedge留); VIX cash 14.85(-2.4%)</t>
        </is>
      </c>
      <c r="AM14" s="25" t="inlineStr">
        <is>
          <t>8/27(四)8:30ET:初请失业金+Pending Home Sales+KC Fed制造业; Jackson Hole年会开幕; 盘后MRVL/WDAY/DG/DLTR/ADSK/ULTA; 8/28(五)10AM ET:Warsh Jackson Hole首秀+非农基准修正+密歇根信心终值; 9/16 FOMC(加息25bp概率42%)</t>
        </is>
      </c>
      <c r="AN14" s="0" t="inlineStr">
        <is>
          <t>部分(VIX9D 13.0前端已极低=近端hedge撤光; VIX1Y~22.4远端仍高位=尾部hedge留; Warsh周五演讲是核心未对冲事件)</t>
        </is>
      </c>
      <c r="AO14" s="25" t="inlineStr">
        <is>
          <t>🟡mixed:VIX9D13.0↓/US30Y5.17%↓/RTY-0.07%&lt;SPX+0.35%。NVDA驱动大票但小盘滞涨。NQ&gt;29600跟多,否则等Warsh周五定调。</t>
        </is>
      </c>
    </row>
    <row r="15">
      <c r="A15" s="23" t="inlineStr">
        <is>
          <t>2026-08-31</t>
        </is>
      </c>
      <c r="B15" s="18" t="inlineStr"/>
      <c r="C15" s="18" t="inlineStr"/>
      <c r="D15" s="18" t="inlineStr"/>
      <c r="E15" s="31">
        <f>=IF(OR(B15="",B15=""),"",ROUND((B15-B15)*10000,1))</f>
        <v/>
      </c>
      <c r="F15" s="31">
        <f>=IF(OR(C15="",C15=""),"",ROUND((C15-C15)*10000,1))</f>
        <v/>
      </c>
      <c r="G15" s="31">
        <f>=IF(OR(D15="",D15=""),"",ROUND((D15-D15)*10000,1))</f>
        <v/>
      </c>
      <c r="H15" s="31">
        <f>=IF(OR(B15="",C15=""),"",ROUND((C15-B15)*10000,1))</f>
        <v/>
      </c>
      <c r="I15" s="0" t="inlineStr">
        <is>
          <t>8/31 7:47AM EDT 盘前: 30Y 5.21%(持平周五5.206%); 10Y 4.712%(-1bp vs 4.714%); 2Y 4.327%(-2bp); 周五Warsh放鹰跳升(2Y+12bp)后企稳; 美伊冲突升压油价但债市未避险</t>
        </is>
      </c>
      <c r="J15" s="20" t="inlineStr"/>
      <c r="K15" s="32" t="inlineStr"/>
      <c r="L15" s="32">
        <f>=IF(OR(J15="",J15=0,J15=""),"",J15/J15-1)</f>
        <v/>
      </c>
      <c r="M15" s="32" t="n">
        <v>-0.0021</v>
      </c>
      <c r="N15" s="32" t="n">
        <v>-0.0018</v>
      </c>
      <c r="O15" s="25" t="inlineStr">
        <is>
          <t>8/31盘前: SPX-0.26%≈DJI-0.26%&lt;NQ-0.21%&lt;RTY-0.18%; 美伊冲突(美军8/30炸拉腊克岛/伊朗报复约旦基地)全线低开; 大票领跌小盘相对抗跌; 存储芯片盘前普涨(SNDK+0.66%/SK海力士+0.41%); 大型科技多数跌(NVDA+0.67%逆势/GOOG-0.33%/META-0.35%)</t>
        </is>
      </c>
      <c r="P15" s="20" t="n">
        <v>86.59</v>
      </c>
      <c r="Q15" s="32">
        <f>=IF(OR(P15="",P15=0,P15="",P15=0),"",P15/P15-1)</f>
        <v/>
      </c>
      <c r="R15" s="20" t="inlineStr"/>
      <c r="S15" s="32">
        <f>=IF(OR(R15="",R15=0,R15="",R15=0),"",R15/R15-1)</f>
        <v/>
      </c>
      <c r="T15" s="20" t="inlineStr"/>
      <c r="U15" s="32">
        <f>=IF(OR(T15="",T15=0,T15="",T15=0),"",T15/T15-1)</f>
        <v/>
      </c>
      <c r="V15" s="20" t="inlineStr"/>
      <c r="W15" s="32">
        <f>=IF(OR(V15="",V15=0,V15="",V15=0),"",V15/V15-1)</f>
        <v/>
      </c>
      <c r="X15" s="33" t="inlineStr"/>
      <c r="Y15" s="32">
        <f>=IF(OR(X15="",X15=0,X15="",X15=0),"",X15/X15-1)</f>
        <v/>
      </c>
      <c r="Z15" s="20" t="inlineStr"/>
      <c r="AA15" s="32">
        <f>=IF(OR(Z15="",Z15=0,Z15="",Z15=0),"",Z15/Z15-1)</f>
        <v/>
      </c>
      <c r="AB15" s="20" t="inlineStr"/>
      <c r="AC15" s="32">
        <f>=IF(OR(AB15="",AB15=0,AB15="",AB15=0),"",AB15/AB15-1)</f>
        <v/>
      </c>
      <c r="AD15" s="20" t="inlineStr"/>
      <c r="AE15" s="32">
        <f>=IF(OR(AD15="",AD15=0,AD15="",AD15=0),"",AD15/AD15-1)</f>
        <v/>
      </c>
      <c r="AF15" s="25" t="inlineStr"/>
      <c r="AG15" s="20" t="inlineStr"/>
      <c r="AH15" s="32">
        <f>=IF(OR(AG15="",AG15=0,AG15="",AG15=0),"",AG15/AG15-1)</f>
        <v/>
      </c>
      <c r="AI15" s="20" t="n">
        <v>13.3</v>
      </c>
      <c r="AJ15" s="20" t="inlineStr"/>
      <c r="AK15" s="20" t="inlineStr"/>
      <c r="AL15" s="0" t="inlineStr">
        <is>
          <t>盘前: VIX9D~13.3持平(前端未恐慌); VIX期货17.05(+0.65%地缘温和升压); 1Y~22.4远端尾部hedge仍留; contango维持; VIX昨收14.43(-0.55%)</t>
        </is>
      </c>
      <c r="AM15" s="25" t="inlineStr">
        <is>
          <t>8/31(一)10:30ET Dallas Fed制造业+T-bill拍卖; 9/1(二)ISM制造业PMI+JOLTS; 9/2(三)ADP+工厂订单+EIA; 9/4(五)8月非农(前值-2.3万); 9/16 FOMC加息概率~60%(Warsh杰克逊霍尔放鹰); ⚡美伊冲突: 美军8/30轰炸拉腊克岛/伊朗报复约旦基地/霍尔木兹商船降至5艘日——今夜主导变量</t>
        </is>
      </c>
      <c r="AN15" s="0" t="inlineStr">
        <is>
          <t>盘前3触发器: ①VIX9D~13.3持平(前端未恐慌) ②US30Y 5.21%企稳(10Y-1bp微鸽) ③RTY-0.18%&gt;SPX-0.26%双低开(小盘相对抗跌)。地缘风险未对冲——油价+3.8%是今夜最大变量; VIX1Y~22.4尾部hedge留</t>
        </is>
      </c>
      <c r="AO15" s="25" t="inlineStr">
        <is>
          <t>⚡event-drive:①VIX9D~13.3持平②US30Y5.21%企稳③RUT/SPX~0.69双低开。期指收复跌幅则试探,否则空仓等美伊明朗。</t>
        </is>
      </c>
    </row>
    <row r="16">
      <c r="A16" s="23" t="inlineStr"/>
      <c r="B16" s="18" t="inlineStr"/>
      <c r="C16" s="18" t="inlineStr"/>
      <c r="D16" s="18" t="inlineStr"/>
      <c r="E16" s="31">
        <f>=IF(OR(B16="",B15=""),"",ROUND((B16-B15)*10000,1))</f>
        <v/>
      </c>
      <c r="F16" s="31">
        <f>=IF(OR(C16="",C15=""),"",ROUND((C16-C15)*10000,1))</f>
        <v/>
      </c>
      <c r="G16" s="31">
        <f>=IF(OR(D16="",D15=""),"",ROUND((D16-D15)*10000,1))</f>
        <v/>
      </c>
      <c r="H16" s="31">
        <f>=IF(OR(B16="",C16=""),"",ROUND((C16-B16)*10000,1))</f>
        <v/>
      </c>
      <c r="J16" s="20" t="inlineStr"/>
      <c r="K16" s="32" t="inlineStr"/>
      <c r="L16" s="32">
        <f>=IF(OR(J16="",J16=0,J15=""),"",J16/J15-1)</f>
        <v/>
      </c>
      <c r="M16" s="32" t="inlineStr"/>
      <c r="N16" s="32" t="inlineStr"/>
      <c r="O16" s="25" t="inlineStr"/>
      <c r="P16" s="20" t="inlineStr"/>
      <c r="Q16" s="32">
        <f>=IF(OR(P16="",P16=0,P15="",P15=0),"",P16/P15-1)</f>
        <v/>
      </c>
      <c r="R16" s="20" t="inlineStr"/>
      <c r="S16" s="32">
        <f>=IF(OR(R16="",R16=0,R15="",R15=0),"",R16/R15-1)</f>
        <v/>
      </c>
      <c r="T16" s="20" t="inlineStr"/>
      <c r="U16" s="32">
        <f>=IF(OR(T16="",T16=0,T15="",T15=0),"",T16/T15-1)</f>
        <v/>
      </c>
      <c r="V16" s="20" t="inlineStr"/>
      <c r="W16" s="32">
        <f>=IF(OR(V16="",V16=0,V15="",V15=0),"",V16/V15-1)</f>
        <v/>
      </c>
      <c r="X16" s="33" t="inlineStr"/>
      <c r="Y16" s="32">
        <f>=IF(OR(X16="",X16=0,X15="",X15=0),"",X16/X15-1)</f>
        <v/>
      </c>
      <c r="Z16" s="20" t="inlineStr"/>
      <c r="AA16" s="32">
        <f>=IF(OR(Z16="",Z16=0,Z15="",Z15=0),"",Z16/Z15-1)</f>
        <v/>
      </c>
      <c r="AB16" s="20" t="inlineStr"/>
      <c r="AC16" s="32">
        <f>=IF(OR(AB16="",AB16=0,AB15="",AB15=0),"",AB16/AB15-1)</f>
        <v/>
      </c>
      <c r="AD16" s="20" t="inlineStr"/>
      <c r="AE16" s="32">
        <f>=IF(OR(AD16="",AD16=0,AD15="",AD15=0),"",AD16/AD15-1)</f>
        <v/>
      </c>
      <c r="AF16" s="25" t="inlineStr"/>
      <c r="AG16" s="20" t="inlineStr"/>
      <c r="AH16" s="32">
        <f>=IF(OR(AG16="",AG16=0,AG15="",AG15=0),"",AG16/AG15-1)</f>
        <v/>
      </c>
      <c r="AI16" s="20" t="inlineStr"/>
      <c r="AJ16" s="20" t="inlineStr"/>
      <c r="AK16" s="20" t="inlineStr"/>
      <c r="AM16" s="25" t="inlineStr"/>
      <c r="AO16" s="25" t="inlineStr"/>
    </row>
    <row r="17">
      <c r="A17" s="23" t="inlineStr"/>
      <c r="B17" s="18" t="inlineStr"/>
      <c r="C17" s="18" t="inlineStr"/>
      <c r="D17" s="18" t="inlineStr"/>
      <c r="E17" s="31">
        <f>=IF(OR(B17="",B16=""),"",ROUND((B17-B16)*10000,1))</f>
        <v/>
      </c>
      <c r="F17" s="31">
        <f>=IF(OR(C17="",C16=""),"",ROUND((C17-C16)*10000,1))</f>
        <v/>
      </c>
      <c r="G17" s="31">
        <f>=IF(OR(D17="",D16=""),"",ROUND((D17-D16)*10000,1))</f>
        <v/>
      </c>
      <c r="H17" s="31">
        <f>=IF(OR(B17="",C17=""),"",ROUND((C17-B17)*10000,1))</f>
        <v/>
      </c>
      <c r="J17" s="20" t="inlineStr"/>
      <c r="K17" s="32" t="inlineStr"/>
      <c r="L17" s="32">
        <f>=IF(OR(J17="",J17=0,J16=""),"",J17/J16-1)</f>
        <v/>
      </c>
      <c r="M17" s="32" t="inlineStr"/>
      <c r="N17" s="32" t="inlineStr"/>
      <c r="O17" s="25" t="inlineStr"/>
      <c r="P17" s="20" t="inlineStr"/>
      <c r="Q17" s="32">
        <f>=IF(OR(P17="",P17=0,P16="",P16=0),"",P17/P16-1)</f>
        <v/>
      </c>
      <c r="R17" s="20" t="inlineStr"/>
      <c r="S17" s="32">
        <f>=IF(OR(R17="",R17=0,R16="",R16=0),"",R17/R16-1)</f>
        <v/>
      </c>
      <c r="T17" s="20" t="inlineStr"/>
      <c r="U17" s="32">
        <f>=IF(OR(T17="",T17=0,T16="",T16=0),"",T17/T16-1)</f>
        <v/>
      </c>
      <c r="V17" s="20" t="inlineStr"/>
      <c r="W17" s="32">
        <f>=IF(OR(V17="",V17=0,V16="",V16=0),"",V17/V16-1)</f>
        <v/>
      </c>
      <c r="X17" s="33" t="inlineStr"/>
      <c r="Y17" s="32">
        <f>=IF(OR(X17="",X17=0,X16="",X16=0),"",X17/X16-1)</f>
        <v/>
      </c>
      <c r="Z17" s="20" t="inlineStr"/>
      <c r="AA17" s="32">
        <f>=IF(OR(Z17="",Z17=0,Z16="",Z16=0),"",Z17/Z16-1)</f>
        <v/>
      </c>
      <c r="AB17" s="20" t="inlineStr"/>
      <c r="AC17" s="32">
        <f>=IF(OR(AB17="",AB17=0,AB16="",AB16=0),"",AB17/AB16-1)</f>
        <v/>
      </c>
      <c r="AD17" s="20" t="inlineStr"/>
      <c r="AE17" s="32">
        <f>=IF(OR(AD17="",AD17=0,AD16="",AD16=0),"",AD17/AD16-1)</f>
        <v/>
      </c>
      <c r="AF17" s="25" t="inlineStr"/>
      <c r="AG17" s="20" t="inlineStr"/>
      <c r="AH17" s="32">
        <f>=IF(OR(AG17="",AG17=0,AG16="",AG16=0),"",AG17/AG16-1)</f>
        <v/>
      </c>
      <c r="AI17" s="20" t="inlineStr"/>
      <c r="AJ17" s="20" t="inlineStr"/>
      <c r="AK17" s="20" t="inlineStr"/>
      <c r="AM17" s="25" t="inlineStr"/>
      <c r="AO17" s="25" t="inlineStr"/>
    </row>
    <row r="18">
      <c r="A18" s="23" t="inlineStr"/>
      <c r="B18" s="18" t="inlineStr"/>
      <c r="C18" s="18" t="inlineStr"/>
      <c r="D18" s="18" t="inlineStr"/>
      <c r="E18" s="31">
        <f>=IF(OR(B18="",B17=""),"",ROUND((B18-B17)*10000,1))</f>
        <v/>
      </c>
      <c r="F18" s="31">
        <f>=IF(OR(C18="",C17=""),"",ROUND((C18-C17)*10000,1))</f>
        <v/>
      </c>
      <c r="G18" s="31">
        <f>=IF(OR(D18="",D17=""),"",ROUND((D18-D17)*10000,1))</f>
        <v/>
      </c>
      <c r="H18" s="31">
        <f>=IF(OR(B18="",C18=""),"",ROUND((C18-B18)*10000,1))</f>
        <v/>
      </c>
      <c r="J18" s="20" t="inlineStr"/>
      <c r="K18" s="32" t="inlineStr"/>
      <c r="L18" s="32">
        <f>=IF(OR(J18="",J18=0,J17=""),"",J18/J17-1)</f>
        <v/>
      </c>
      <c r="M18" s="32" t="inlineStr"/>
      <c r="N18" s="32" t="inlineStr"/>
      <c r="O18" s="25" t="inlineStr"/>
      <c r="P18" s="20" t="inlineStr"/>
      <c r="Q18" s="32">
        <f>=IF(OR(P18="",P18=0,P17="",P17=0),"",P18/P17-1)</f>
        <v/>
      </c>
      <c r="R18" s="20" t="inlineStr"/>
      <c r="S18" s="32">
        <f>=IF(OR(R18="",R18=0,R17="",R17=0),"",R18/R17-1)</f>
        <v/>
      </c>
      <c r="T18" s="20" t="inlineStr"/>
      <c r="U18" s="32">
        <f>=IF(OR(T18="",T18=0,T17="",T17=0),"",T18/T17-1)</f>
        <v/>
      </c>
      <c r="V18" s="20" t="inlineStr"/>
      <c r="W18" s="32">
        <f>=IF(OR(V18="",V18=0,V17="",V17=0),"",V18/V17-1)</f>
        <v/>
      </c>
      <c r="X18" s="33" t="inlineStr"/>
      <c r="Y18" s="32">
        <f>=IF(OR(X18="",X18=0,X17="",X17=0),"",X18/X17-1)</f>
        <v/>
      </c>
      <c r="Z18" s="20" t="inlineStr"/>
      <c r="AA18" s="32">
        <f>=IF(OR(Z18="",Z18=0,Z17="",Z17=0),"",Z18/Z17-1)</f>
        <v/>
      </c>
      <c r="AB18" s="20" t="inlineStr"/>
      <c r="AC18" s="32">
        <f>=IF(OR(AB18="",AB18=0,AB17="",AB17=0),"",AB18/AB17-1)</f>
        <v/>
      </c>
      <c r="AD18" s="20" t="inlineStr"/>
      <c r="AE18" s="32">
        <f>=IF(OR(AD18="",AD18=0,AD17="",AD17=0),"",AD18/AD17-1)</f>
        <v/>
      </c>
      <c r="AF18" s="25" t="inlineStr"/>
      <c r="AG18" s="20" t="inlineStr"/>
      <c r="AH18" s="32">
        <f>=IF(OR(AG18="",AG18=0,AG17="",AG17=0),"",AG18/AG17-1)</f>
        <v/>
      </c>
      <c r="AI18" s="20" t="inlineStr"/>
      <c r="AJ18" s="20" t="inlineStr"/>
      <c r="AK18" s="20" t="inlineStr"/>
      <c r="AM18" s="25" t="inlineStr"/>
      <c r="AO18" s="25" t="inlineStr"/>
    </row>
    <row r="19">
      <c r="A19" s="23" t="inlineStr"/>
      <c r="B19" s="18" t="inlineStr"/>
      <c r="C19" s="18" t="inlineStr"/>
      <c r="D19" s="18" t="inlineStr"/>
      <c r="E19" s="31">
        <f>=IF(OR(B19="",B18=""),"",ROUND((B19-B18)*10000,1))</f>
        <v/>
      </c>
      <c r="F19" s="31">
        <f>=IF(OR(C19="",C18=""),"",ROUND((C19-C18)*10000,1))</f>
        <v/>
      </c>
      <c r="G19" s="31">
        <f>=IF(OR(D19="",D18=""),"",ROUND((D19-D18)*10000,1))</f>
        <v/>
      </c>
      <c r="H19" s="31">
        <f>=IF(OR(B19="",C19=""),"",ROUND((C19-B19)*10000,1))</f>
        <v/>
      </c>
      <c r="J19" s="20" t="inlineStr"/>
      <c r="K19" s="32" t="inlineStr"/>
      <c r="L19" s="32">
        <f>=IF(OR(J19="",J19=0,J18=""),"",J19/J18-1)</f>
        <v/>
      </c>
      <c r="M19" s="32" t="inlineStr"/>
      <c r="N19" s="32" t="inlineStr"/>
      <c r="O19" s="25" t="inlineStr"/>
      <c r="P19" s="20" t="inlineStr"/>
      <c r="Q19" s="32">
        <f>=IF(OR(P19="",P19=0,P18="",P18=0),"",P19/P18-1)</f>
        <v/>
      </c>
      <c r="R19" s="20" t="inlineStr"/>
      <c r="S19" s="32">
        <f>=IF(OR(R19="",R19=0,R18="",R18=0),"",R19/R18-1)</f>
        <v/>
      </c>
      <c r="T19" s="20" t="inlineStr"/>
      <c r="U19" s="32">
        <f>=IF(OR(T19="",T19=0,T18="",T18=0),"",T19/T18-1)</f>
        <v/>
      </c>
      <c r="V19" s="20" t="inlineStr"/>
      <c r="W19" s="32">
        <f>=IF(OR(V19="",V19=0,V18="",V18=0),"",V19/V18-1)</f>
        <v/>
      </c>
      <c r="X19" s="33" t="inlineStr"/>
      <c r="Y19" s="32">
        <f>=IF(OR(X19="",X19=0,X18="",X18=0),"",X19/X18-1)</f>
        <v/>
      </c>
      <c r="Z19" s="20" t="inlineStr"/>
      <c r="AA19" s="32">
        <f>=IF(OR(Z19="",Z19=0,Z18="",Z18=0),"",Z19/Z18-1)</f>
        <v/>
      </c>
      <c r="AB19" s="20" t="inlineStr"/>
      <c r="AC19" s="32">
        <f>=IF(OR(AB19="",AB19=0,AB18="",AB18=0),"",AB19/AB18-1)</f>
        <v/>
      </c>
      <c r="AD19" s="20" t="inlineStr"/>
      <c r="AE19" s="32">
        <f>=IF(OR(AD19="",AD19=0,AD18="",AD18=0),"",AD19/AD18-1)</f>
        <v/>
      </c>
      <c r="AF19" s="25" t="inlineStr"/>
      <c r="AG19" s="20" t="inlineStr"/>
      <c r="AH19" s="32">
        <f>=IF(OR(AG19="",AG19=0,AG18="",AG18=0),"",AG19/AG18-1)</f>
        <v/>
      </c>
      <c r="AI19" s="20" t="inlineStr"/>
      <c r="AJ19" s="20" t="inlineStr"/>
      <c r="AK19" s="20" t="inlineStr"/>
      <c r="AM19" s="25" t="inlineStr"/>
      <c r="AO19" s="25" t="inlineStr"/>
    </row>
    <row r="20">
      <c r="A20" s="23" t="inlineStr"/>
      <c r="B20" s="18" t="inlineStr"/>
      <c r="C20" s="18" t="inlineStr"/>
      <c r="D20" s="18" t="inlineStr"/>
      <c r="E20" s="31">
        <f>=IF(OR(B20="",B19=""),"",ROUND((B20-B19)*10000,1))</f>
        <v/>
      </c>
      <c r="F20" s="31">
        <f>=IF(OR(C20="",C19=""),"",ROUND((C20-C19)*10000,1))</f>
        <v/>
      </c>
      <c r="G20" s="31">
        <f>=IF(OR(D20="",D19=""),"",ROUND((D20-D19)*10000,1))</f>
        <v/>
      </c>
      <c r="H20" s="31">
        <f>=IF(OR(B20="",C20=""),"",ROUND((C20-B20)*10000,1))</f>
        <v/>
      </c>
      <c r="J20" s="20" t="inlineStr"/>
      <c r="K20" s="32" t="inlineStr"/>
      <c r="L20" s="32">
        <f>=IF(OR(J20="",J20=0,J19=""),"",J20/J19-1)</f>
        <v/>
      </c>
      <c r="M20" s="32" t="inlineStr"/>
      <c r="N20" s="32" t="inlineStr"/>
      <c r="O20" s="25" t="inlineStr"/>
      <c r="P20" s="20" t="inlineStr"/>
      <c r="Q20" s="32">
        <f>=IF(OR(P20="",P20=0,P19="",P19=0),"",P20/P19-1)</f>
        <v/>
      </c>
      <c r="R20" s="20" t="inlineStr"/>
      <c r="S20" s="32">
        <f>=IF(OR(R20="",R20=0,R19="",R19=0),"",R20/R19-1)</f>
        <v/>
      </c>
      <c r="T20" s="20" t="inlineStr"/>
      <c r="U20" s="32">
        <f>=IF(OR(T20="",T20=0,T19="",T19=0),"",T20/T19-1)</f>
        <v/>
      </c>
      <c r="V20" s="20" t="inlineStr"/>
      <c r="W20" s="32">
        <f>=IF(OR(V20="",V20=0,V19="",V19=0),"",V20/V19-1)</f>
        <v/>
      </c>
      <c r="X20" s="33" t="inlineStr"/>
      <c r="Y20" s="32">
        <f>=IF(OR(X20="",X20=0,X19="",X19=0),"",X20/X19-1)</f>
        <v/>
      </c>
      <c r="Z20" s="20" t="inlineStr"/>
      <c r="AA20" s="32">
        <f>=IF(OR(Z20="",Z20=0,Z19="",Z19=0),"",Z20/Z19-1)</f>
        <v/>
      </c>
      <c r="AB20" s="20" t="inlineStr"/>
      <c r="AC20" s="32">
        <f>=IF(OR(AB20="",AB20=0,AB19="",AB19=0),"",AB20/AB19-1)</f>
        <v/>
      </c>
      <c r="AD20" s="20" t="inlineStr"/>
      <c r="AE20" s="32">
        <f>=IF(OR(AD20="",AD20=0,AD19="",AD19=0),"",AD20/AD19-1)</f>
        <v/>
      </c>
      <c r="AF20" s="25" t="inlineStr"/>
      <c r="AG20" s="20" t="inlineStr"/>
      <c r="AH20" s="32">
        <f>=IF(OR(AG20="",AG20=0,AG19="",AG19=0),"",AG20/AG19-1)</f>
        <v/>
      </c>
      <c r="AI20" s="20" t="inlineStr"/>
      <c r="AJ20" s="20" t="inlineStr"/>
      <c r="AK20" s="20" t="inlineStr"/>
      <c r="AM20" s="25" t="inlineStr"/>
      <c r="AO20" s="25" t="inlineStr"/>
    </row>
    <row r="21">
      <c r="A21" s="23" t="inlineStr"/>
      <c r="B21" s="18" t="inlineStr"/>
      <c r="C21" s="18" t="inlineStr"/>
      <c r="D21" s="18" t="inlineStr"/>
      <c r="E21" s="31">
        <f>=IF(OR(B21="",B20=""),"",ROUND((B21-B20)*10000,1))</f>
        <v/>
      </c>
      <c r="F21" s="31">
        <f>=IF(OR(C21="",C20=""),"",ROUND((C21-C20)*10000,1))</f>
        <v/>
      </c>
      <c r="G21" s="31">
        <f>=IF(OR(D21="",D20=""),"",ROUND((D21-D20)*10000,1))</f>
        <v/>
      </c>
      <c r="H21" s="31">
        <f>=IF(OR(B21="",C21=""),"",ROUND((C21-B21)*10000,1))</f>
        <v/>
      </c>
      <c r="J21" s="20" t="inlineStr"/>
      <c r="K21" s="32" t="inlineStr"/>
      <c r="L21" s="32">
        <f>=IF(OR(J21="",J21=0,J20=""),"",J21/J20-1)</f>
        <v/>
      </c>
      <c r="M21" s="32" t="inlineStr"/>
      <c r="N21" s="32" t="inlineStr"/>
      <c r="O21" s="25" t="inlineStr"/>
      <c r="P21" s="20" t="inlineStr"/>
      <c r="Q21" s="32">
        <f>=IF(OR(P21="",P21=0,P20="",P20=0),"",P21/P20-1)</f>
        <v/>
      </c>
      <c r="R21" s="20" t="inlineStr"/>
      <c r="S21" s="32">
        <f>=IF(OR(R21="",R21=0,R20="",R20=0),"",R21/R20-1)</f>
        <v/>
      </c>
      <c r="T21" s="20" t="inlineStr"/>
      <c r="U21" s="32">
        <f>=IF(OR(T21="",T21=0,T20="",T20=0),"",T21/T20-1)</f>
        <v/>
      </c>
      <c r="V21" s="20" t="inlineStr"/>
      <c r="W21" s="32">
        <f>=IF(OR(V21="",V21=0,V20="",V20=0),"",V21/V20-1)</f>
        <v/>
      </c>
      <c r="X21" s="33" t="inlineStr"/>
      <c r="Y21" s="32">
        <f>=IF(OR(X21="",X21=0,X20="",X20=0),"",X21/X20-1)</f>
        <v/>
      </c>
      <c r="Z21" s="20" t="inlineStr"/>
      <c r="AA21" s="32">
        <f>=IF(OR(Z21="",Z21=0,Z20="",Z20=0),"",Z21/Z20-1)</f>
        <v/>
      </c>
      <c r="AB21" s="20" t="inlineStr"/>
      <c r="AC21" s="32">
        <f>=IF(OR(AB21="",AB21=0,AB20="",AB20=0),"",AB21/AB20-1)</f>
        <v/>
      </c>
      <c r="AD21" s="20" t="inlineStr"/>
      <c r="AE21" s="32">
        <f>=IF(OR(AD21="",AD21=0,AD20="",AD20=0),"",AD21/AD20-1)</f>
        <v/>
      </c>
      <c r="AF21" s="25" t="inlineStr"/>
      <c r="AG21" s="20" t="inlineStr"/>
      <c r="AH21" s="32">
        <f>=IF(OR(AG21="",AG21=0,AG20="",AG20=0),"",AG21/AG20-1)</f>
        <v/>
      </c>
      <c r="AI21" s="20" t="inlineStr"/>
      <c r="AJ21" s="20" t="inlineStr"/>
      <c r="AK21" s="20" t="inlineStr"/>
      <c r="AM21" s="25" t="inlineStr"/>
      <c r="AO21" s="25" t="inlineStr"/>
    </row>
    <row r="22">
      <c r="A22" s="23" t="inlineStr"/>
      <c r="B22" s="18" t="inlineStr"/>
      <c r="C22" s="18" t="inlineStr"/>
      <c r="D22" s="18" t="inlineStr"/>
      <c r="E22" s="31">
        <f>=IF(OR(B22="",B21=""),"",ROUND((B22-B21)*10000,1))</f>
        <v/>
      </c>
      <c r="F22" s="31">
        <f>=IF(OR(C22="",C21=""),"",ROUND((C22-C21)*10000,1))</f>
        <v/>
      </c>
      <c r="G22" s="31">
        <f>=IF(OR(D22="",D21=""),"",ROUND((D22-D21)*10000,1))</f>
        <v/>
      </c>
      <c r="H22" s="31">
        <f>=IF(OR(B22="",C22=""),"",ROUND((C22-B22)*10000,1))</f>
        <v/>
      </c>
      <c r="J22" s="20" t="inlineStr"/>
      <c r="K22" s="32" t="inlineStr"/>
      <c r="L22" s="32">
        <f>=IF(OR(J22="",J22=0,J21=""),"",J22/J21-1)</f>
        <v/>
      </c>
      <c r="M22" s="32" t="inlineStr"/>
      <c r="N22" s="32" t="inlineStr"/>
      <c r="O22" s="25" t="inlineStr"/>
      <c r="P22" s="20" t="inlineStr"/>
      <c r="Q22" s="32">
        <f>=IF(OR(P22="",P22=0,P21="",P21=0),"",P22/P21-1)</f>
        <v/>
      </c>
      <c r="R22" s="20" t="inlineStr"/>
      <c r="S22" s="32">
        <f>=IF(OR(R22="",R22=0,R21="",R21=0),"",R22/R21-1)</f>
        <v/>
      </c>
      <c r="T22" s="20" t="inlineStr"/>
      <c r="U22" s="32">
        <f>=IF(OR(T22="",T22=0,T21="",T21=0),"",T22/T21-1)</f>
        <v/>
      </c>
      <c r="V22" s="20" t="inlineStr"/>
      <c r="W22" s="32">
        <f>=IF(OR(V22="",V22=0,V21="",V21=0),"",V22/V21-1)</f>
        <v/>
      </c>
      <c r="X22" s="33" t="inlineStr"/>
      <c r="Y22" s="32">
        <f>=IF(OR(X22="",X22=0,X21="",X21=0),"",X22/X21-1)</f>
        <v/>
      </c>
      <c r="Z22" s="20" t="inlineStr"/>
      <c r="AA22" s="32">
        <f>=IF(OR(Z22="",Z22=0,Z21="",Z21=0),"",Z22/Z21-1)</f>
        <v/>
      </c>
      <c r="AB22" s="20" t="inlineStr"/>
      <c r="AC22" s="32">
        <f>=IF(OR(AB22="",AB22=0,AB21="",AB21=0),"",AB22/AB21-1)</f>
        <v/>
      </c>
      <c r="AD22" s="20" t="inlineStr"/>
      <c r="AE22" s="32">
        <f>=IF(OR(AD22="",AD22=0,AD21="",AD21=0),"",AD22/AD21-1)</f>
        <v/>
      </c>
      <c r="AF22" s="25" t="inlineStr"/>
      <c r="AG22" s="20" t="inlineStr"/>
      <c r="AH22" s="32">
        <f>=IF(OR(AG22="",AG22=0,AG21="",AG21=0),"",AG22/AG21-1)</f>
        <v/>
      </c>
      <c r="AI22" s="20" t="inlineStr"/>
      <c r="AJ22" s="20" t="inlineStr"/>
      <c r="AK22" s="20" t="inlineStr"/>
      <c r="AM22" s="25" t="inlineStr"/>
      <c r="AO22" s="25" t="inlineStr"/>
    </row>
    <row r="23">
      <c r="A23" s="23" t="inlineStr"/>
      <c r="B23" s="18" t="inlineStr"/>
      <c r="C23" s="18" t="inlineStr"/>
      <c r="D23" s="18" t="inlineStr"/>
      <c r="E23" s="31">
        <f>=IF(OR(B23="",B22=""),"",ROUND((B23-B22)*10000,1))</f>
        <v/>
      </c>
      <c r="F23" s="31">
        <f>=IF(OR(C23="",C22=""),"",ROUND((C23-C22)*10000,1))</f>
        <v/>
      </c>
      <c r="G23" s="31">
        <f>=IF(OR(D23="",D22=""),"",ROUND((D23-D22)*10000,1))</f>
        <v/>
      </c>
      <c r="H23" s="31">
        <f>=IF(OR(B23="",C23=""),"",ROUND((C23-B23)*10000,1))</f>
        <v/>
      </c>
      <c r="J23" s="20" t="inlineStr"/>
      <c r="K23" s="32" t="inlineStr"/>
      <c r="L23" s="32">
        <f>=IF(OR(J23="",J23=0,J22=""),"",J23/J22-1)</f>
        <v/>
      </c>
      <c r="M23" s="32" t="inlineStr"/>
      <c r="N23" s="32" t="inlineStr"/>
      <c r="O23" s="25" t="inlineStr"/>
      <c r="P23" s="20" t="inlineStr"/>
      <c r="Q23" s="32">
        <f>=IF(OR(P23="",P23=0,P22="",P22=0),"",P23/P22-1)</f>
        <v/>
      </c>
      <c r="R23" s="20" t="inlineStr"/>
      <c r="S23" s="32">
        <f>=IF(OR(R23="",R23=0,R22="",R22=0),"",R23/R22-1)</f>
        <v/>
      </c>
      <c r="T23" s="20" t="inlineStr"/>
      <c r="U23" s="32">
        <f>=IF(OR(T23="",T23=0,T22="",T22=0),"",T23/T22-1)</f>
        <v/>
      </c>
      <c r="V23" s="20" t="inlineStr"/>
      <c r="W23" s="32">
        <f>=IF(OR(V23="",V23=0,V22="",V22=0),"",V23/V22-1)</f>
        <v/>
      </c>
      <c r="X23" s="33" t="inlineStr"/>
      <c r="Y23" s="32">
        <f>=IF(OR(X23="",X23=0,X22="",X22=0),"",X23/X22-1)</f>
        <v/>
      </c>
      <c r="Z23" s="20" t="inlineStr"/>
      <c r="AA23" s="32">
        <f>=IF(OR(Z23="",Z23=0,Z22="",Z22=0),"",Z23/Z22-1)</f>
        <v/>
      </c>
      <c r="AB23" s="20" t="inlineStr"/>
      <c r="AC23" s="32">
        <f>=IF(OR(AB23="",AB23=0,AB22="",AB22=0),"",AB23/AB22-1)</f>
        <v/>
      </c>
      <c r="AD23" s="20" t="inlineStr"/>
      <c r="AE23" s="32">
        <f>=IF(OR(AD23="",AD23=0,AD22="",AD22=0),"",AD23/AD22-1)</f>
        <v/>
      </c>
      <c r="AF23" s="25" t="inlineStr"/>
      <c r="AG23" s="20" t="inlineStr"/>
      <c r="AH23" s="32">
        <f>=IF(OR(AG23="",AG23=0,AG22="",AG22=0),"",AG23/AG22-1)</f>
        <v/>
      </c>
      <c r="AI23" s="20" t="inlineStr"/>
      <c r="AJ23" s="20" t="inlineStr"/>
      <c r="AK23" s="20" t="inlineStr"/>
      <c r="AM23" s="25" t="inlineStr"/>
      <c r="AO23" s="25" t="inlineStr"/>
    </row>
    <row r="24">
      <c r="A24" s="23" t="inlineStr"/>
      <c r="B24" s="18" t="inlineStr"/>
      <c r="C24" s="18" t="inlineStr"/>
      <c r="D24" s="18" t="inlineStr"/>
      <c r="E24" s="31">
        <f>=IF(OR(B24="",B23=""),"",ROUND((B24-B23)*10000,1))</f>
        <v/>
      </c>
      <c r="F24" s="31">
        <f>=IF(OR(C24="",C23=""),"",ROUND((C24-C23)*10000,1))</f>
        <v/>
      </c>
      <c r="G24" s="31">
        <f>=IF(OR(D24="",D23=""),"",ROUND((D24-D23)*10000,1))</f>
        <v/>
      </c>
      <c r="H24" s="31">
        <f>=IF(OR(B24="",C24=""),"",ROUND((C24-B24)*10000,1))</f>
        <v/>
      </c>
      <c r="J24" s="20" t="inlineStr"/>
      <c r="K24" s="32" t="inlineStr"/>
      <c r="L24" s="32">
        <f>=IF(OR(J24="",J24=0,J23=""),"",J24/J23-1)</f>
        <v/>
      </c>
      <c r="M24" s="32" t="inlineStr"/>
      <c r="N24" s="32" t="inlineStr"/>
      <c r="O24" s="25" t="inlineStr"/>
      <c r="P24" s="20" t="inlineStr"/>
      <c r="Q24" s="32">
        <f>=IF(OR(P24="",P24=0,P23="",P23=0),"",P24/P23-1)</f>
        <v/>
      </c>
      <c r="R24" s="20" t="inlineStr"/>
      <c r="S24" s="32">
        <f>=IF(OR(R24="",R24=0,R23="",R23=0),"",R24/R23-1)</f>
        <v/>
      </c>
      <c r="T24" s="20" t="inlineStr"/>
      <c r="U24" s="32">
        <f>=IF(OR(T24="",T24=0,T23="",T23=0),"",T24/T23-1)</f>
        <v/>
      </c>
      <c r="V24" s="20" t="inlineStr"/>
      <c r="W24" s="32">
        <f>=IF(OR(V24="",V24=0,V23="",V23=0),"",V24/V23-1)</f>
        <v/>
      </c>
      <c r="X24" s="33" t="inlineStr"/>
      <c r="Y24" s="32">
        <f>=IF(OR(X24="",X24=0,X23="",X23=0),"",X24/X23-1)</f>
        <v/>
      </c>
      <c r="Z24" s="20" t="inlineStr"/>
      <c r="AA24" s="32">
        <f>=IF(OR(Z24="",Z24=0,Z23="",Z23=0),"",Z24/Z23-1)</f>
        <v/>
      </c>
      <c r="AB24" s="20" t="inlineStr"/>
      <c r="AC24" s="32">
        <f>=IF(OR(AB24="",AB24=0,AB23="",AB23=0),"",AB24/AB23-1)</f>
        <v/>
      </c>
      <c r="AD24" s="20" t="inlineStr"/>
      <c r="AE24" s="32">
        <f>=IF(OR(AD24="",AD24=0,AD23="",AD23=0),"",AD24/AD23-1)</f>
        <v/>
      </c>
      <c r="AF24" s="25" t="inlineStr"/>
      <c r="AG24" s="20" t="inlineStr"/>
      <c r="AH24" s="32">
        <f>=IF(OR(AG24="",AG24=0,AG23="",AG23=0),"",AG24/AG23-1)</f>
        <v/>
      </c>
      <c r="AI24" s="20" t="inlineStr"/>
      <c r="AJ24" s="20" t="inlineStr"/>
      <c r="AK24" s="20" t="inlineStr"/>
      <c r="AM24" s="25" t="inlineStr"/>
      <c r="AO24" s="25" t="inlineStr"/>
    </row>
    <row r="25">
      <c r="A25" s="23" t="inlineStr"/>
      <c r="B25" s="18" t="inlineStr"/>
      <c r="C25" s="18" t="inlineStr"/>
      <c r="D25" s="18" t="inlineStr"/>
      <c r="E25" s="31">
        <f>=IF(OR(B25="",B24=""),"",ROUND((B25-B24)*10000,1))</f>
        <v/>
      </c>
      <c r="F25" s="31">
        <f>=IF(OR(C25="",C24=""),"",ROUND((C25-C24)*10000,1))</f>
        <v/>
      </c>
      <c r="G25" s="31">
        <f>=IF(OR(D25="",D24=""),"",ROUND((D25-D24)*10000,1))</f>
        <v/>
      </c>
      <c r="H25" s="31">
        <f>=IF(OR(B25="",C25=""),"",ROUND((C25-B25)*10000,1))</f>
        <v/>
      </c>
      <c r="J25" s="20" t="inlineStr"/>
      <c r="K25" s="32" t="inlineStr"/>
      <c r="L25" s="32">
        <f>=IF(OR(J25="",J25=0,J24=""),"",J25/J24-1)</f>
        <v/>
      </c>
      <c r="M25" s="32" t="inlineStr"/>
      <c r="N25" s="32" t="inlineStr"/>
      <c r="O25" s="25" t="inlineStr"/>
      <c r="P25" s="20" t="inlineStr"/>
      <c r="Q25" s="32">
        <f>=IF(OR(P25="",P25=0,P24="",P24=0),"",P25/P24-1)</f>
        <v/>
      </c>
      <c r="R25" s="20" t="inlineStr"/>
      <c r="S25" s="32">
        <f>=IF(OR(R25="",R25=0,R24="",R24=0),"",R25/R24-1)</f>
        <v/>
      </c>
      <c r="T25" s="20" t="inlineStr"/>
      <c r="U25" s="32">
        <f>=IF(OR(T25="",T25=0,T24="",T24=0),"",T25/T24-1)</f>
        <v/>
      </c>
      <c r="V25" s="20" t="inlineStr"/>
      <c r="W25" s="32">
        <f>=IF(OR(V25="",V25=0,V24="",V24=0),"",V25/V24-1)</f>
        <v/>
      </c>
      <c r="X25" s="33" t="inlineStr"/>
      <c r="Y25" s="32">
        <f>=IF(OR(X25="",X25=0,X24="",X24=0),"",X25/X24-1)</f>
        <v/>
      </c>
      <c r="Z25" s="20" t="inlineStr"/>
      <c r="AA25" s="32">
        <f>=IF(OR(Z25="",Z25=0,Z24="",Z24=0),"",Z25/Z24-1)</f>
        <v/>
      </c>
      <c r="AB25" s="20" t="inlineStr"/>
      <c r="AC25" s="32">
        <f>=IF(OR(AB25="",AB25=0,AB24="",AB24=0),"",AB25/AB24-1)</f>
        <v/>
      </c>
      <c r="AD25" s="20" t="inlineStr"/>
      <c r="AE25" s="32">
        <f>=IF(OR(AD25="",AD25=0,AD24="",AD24=0),"",AD25/AD24-1)</f>
        <v/>
      </c>
      <c r="AF25" s="25" t="inlineStr"/>
      <c r="AG25" s="20" t="inlineStr"/>
      <c r="AH25" s="32">
        <f>=IF(OR(AG25="",AG25=0,AG24="",AG24=0),"",AG25/AG24-1)</f>
        <v/>
      </c>
      <c r="AI25" s="20" t="inlineStr"/>
      <c r="AJ25" s="20" t="inlineStr"/>
      <c r="AK25" s="20" t="inlineStr"/>
      <c r="AM25" s="25" t="inlineStr"/>
      <c r="AO25" s="25" t="inlineStr"/>
    </row>
    <row r="26">
      <c r="A26" s="23" t="inlineStr"/>
      <c r="B26" s="18" t="inlineStr"/>
      <c r="C26" s="18" t="inlineStr"/>
      <c r="D26" s="18" t="inlineStr"/>
      <c r="E26" s="31">
        <f>=IF(OR(B26="",B25=""),"",ROUND((B26-B25)*10000,1))</f>
        <v/>
      </c>
      <c r="F26" s="31">
        <f>=IF(OR(C26="",C25=""),"",ROUND((C26-C25)*10000,1))</f>
        <v/>
      </c>
      <c r="G26" s="31">
        <f>=IF(OR(D26="",D25=""),"",ROUND((D26-D25)*10000,1))</f>
        <v/>
      </c>
      <c r="H26" s="31">
        <f>=IF(OR(B26="",C26=""),"",ROUND((C26-B26)*10000,1))</f>
        <v/>
      </c>
      <c r="J26" s="20" t="inlineStr"/>
      <c r="K26" s="32" t="inlineStr"/>
      <c r="L26" s="32">
        <f>=IF(OR(J26="",J26=0,J25=""),"",J26/J25-1)</f>
        <v/>
      </c>
      <c r="M26" s="32" t="inlineStr"/>
      <c r="N26" s="32" t="inlineStr"/>
      <c r="O26" s="25" t="inlineStr"/>
      <c r="P26" s="20" t="inlineStr"/>
      <c r="Q26" s="32">
        <f>=IF(OR(P26="",P26=0,P25="",P25=0),"",P26/P25-1)</f>
        <v/>
      </c>
      <c r="R26" s="20" t="inlineStr"/>
      <c r="S26" s="32">
        <f>=IF(OR(R26="",R26=0,R25="",R25=0),"",R26/R25-1)</f>
        <v/>
      </c>
      <c r="T26" s="20" t="inlineStr"/>
      <c r="U26" s="32">
        <f>=IF(OR(T26="",T26=0,T25="",T25=0),"",T26/T25-1)</f>
        <v/>
      </c>
      <c r="V26" s="20" t="inlineStr"/>
      <c r="W26" s="32">
        <f>=IF(OR(V26="",V26=0,V25="",V25=0),"",V26/V25-1)</f>
        <v/>
      </c>
      <c r="X26" s="33" t="inlineStr"/>
      <c r="Y26" s="32">
        <f>=IF(OR(X26="",X26=0,X25="",X25=0),"",X26/X25-1)</f>
        <v/>
      </c>
      <c r="Z26" s="20" t="inlineStr"/>
      <c r="AA26" s="32">
        <f>=IF(OR(Z26="",Z26=0,Z25="",Z25=0),"",Z26/Z25-1)</f>
        <v/>
      </c>
      <c r="AB26" s="20" t="inlineStr"/>
      <c r="AC26" s="32">
        <f>=IF(OR(AB26="",AB26=0,AB25="",AB25=0),"",AB26/AB25-1)</f>
        <v/>
      </c>
      <c r="AD26" s="20" t="inlineStr"/>
      <c r="AE26" s="32">
        <f>=IF(OR(AD26="",AD26=0,AD25="",AD25=0),"",AD26/AD25-1)</f>
        <v/>
      </c>
      <c r="AF26" s="25" t="inlineStr"/>
      <c r="AG26" s="20" t="inlineStr"/>
      <c r="AH26" s="32">
        <f>=IF(OR(AG26="",AG26=0,AG25="",AG25=0),"",AG26/AG25-1)</f>
        <v/>
      </c>
      <c r="AI26" s="20" t="inlineStr"/>
      <c r="AJ26" s="20" t="inlineStr"/>
      <c r="AK26" s="20" t="inlineStr"/>
      <c r="AM26" s="25" t="inlineStr"/>
      <c r="AO26" s="25" t="inlineStr"/>
    </row>
    <row r="27">
      <c r="A27" s="23" t="inlineStr"/>
      <c r="B27" s="18" t="inlineStr"/>
      <c r="C27" s="18" t="inlineStr"/>
      <c r="D27" s="18" t="inlineStr"/>
      <c r="E27" s="31">
        <f>=IF(OR(B27="",B26=""),"",ROUND((B27-B26)*10000,1))</f>
        <v/>
      </c>
      <c r="F27" s="31">
        <f>=IF(OR(C27="",C26=""),"",ROUND((C27-C26)*10000,1))</f>
        <v/>
      </c>
      <c r="G27" s="31">
        <f>=IF(OR(D27="",D26=""),"",ROUND((D27-D26)*10000,1))</f>
        <v/>
      </c>
      <c r="H27" s="31">
        <f>=IF(OR(B27="",C27=""),"",ROUND((C27-B27)*10000,1))</f>
        <v/>
      </c>
      <c r="J27" s="20" t="inlineStr"/>
      <c r="K27" s="32" t="inlineStr"/>
      <c r="L27" s="32">
        <f>=IF(OR(J27="",J27=0,J26=""),"",J27/J26-1)</f>
        <v/>
      </c>
      <c r="M27" s="32" t="inlineStr"/>
      <c r="N27" s="32" t="inlineStr"/>
      <c r="O27" s="25" t="inlineStr"/>
      <c r="P27" s="20" t="inlineStr"/>
      <c r="Q27" s="32">
        <f>=IF(OR(P27="",P27=0,P26="",P26=0),"",P27/P26-1)</f>
        <v/>
      </c>
      <c r="R27" s="20" t="inlineStr"/>
      <c r="S27" s="32">
        <f>=IF(OR(R27="",R27=0,R26="",R26=0),"",R27/R26-1)</f>
        <v/>
      </c>
      <c r="T27" s="20" t="inlineStr"/>
      <c r="U27" s="32">
        <f>=IF(OR(T27="",T27=0,T26="",T26=0),"",T27/T26-1)</f>
        <v/>
      </c>
      <c r="V27" s="20" t="inlineStr"/>
      <c r="W27" s="32">
        <f>=IF(OR(V27="",V27=0,V26="",V26=0),"",V27/V26-1)</f>
        <v/>
      </c>
      <c r="X27" s="33" t="inlineStr"/>
      <c r="Y27" s="32">
        <f>=IF(OR(X27="",X27=0,X26="",X26=0),"",X27/X26-1)</f>
        <v/>
      </c>
      <c r="Z27" s="20" t="inlineStr"/>
      <c r="AA27" s="32">
        <f>=IF(OR(Z27="",Z27=0,Z26="",Z26=0),"",Z27/Z26-1)</f>
        <v/>
      </c>
      <c r="AB27" s="20" t="inlineStr"/>
      <c r="AC27" s="32">
        <f>=IF(OR(AB27="",AB27=0,AB26="",AB26=0),"",AB27/AB26-1)</f>
        <v/>
      </c>
      <c r="AD27" s="20" t="inlineStr"/>
      <c r="AE27" s="32">
        <f>=IF(OR(AD27="",AD27=0,AD26="",AD26=0),"",AD27/AD26-1)</f>
        <v/>
      </c>
      <c r="AF27" s="25" t="inlineStr"/>
      <c r="AG27" s="20" t="inlineStr"/>
      <c r="AH27" s="32">
        <f>=IF(OR(AG27="",AG27=0,AG26="",AG26=0),"",AG27/AG26-1)</f>
        <v/>
      </c>
      <c r="AI27" s="20" t="inlineStr"/>
      <c r="AJ27" s="20" t="inlineStr"/>
      <c r="AK27" s="20" t="inlineStr"/>
      <c r="AM27" s="25" t="inlineStr"/>
      <c r="AO27" s="25" t="inlineStr"/>
    </row>
    <row r="28">
      <c r="A28" s="23" t="inlineStr"/>
      <c r="B28" s="18" t="inlineStr"/>
      <c r="C28" s="18" t="inlineStr"/>
      <c r="D28" s="18" t="inlineStr"/>
      <c r="E28" s="31">
        <f>=IF(OR(B28="",B27=""),"",ROUND((B28-B27)*10000,1))</f>
        <v/>
      </c>
      <c r="F28" s="31">
        <f>=IF(OR(C28="",C27=""),"",ROUND((C28-C27)*10000,1))</f>
        <v/>
      </c>
      <c r="G28" s="31">
        <f>=IF(OR(D28="",D27=""),"",ROUND((D28-D27)*10000,1))</f>
        <v/>
      </c>
      <c r="H28" s="31">
        <f>=IF(OR(B28="",C28=""),"",ROUND((C28-B28)*10000,1))</f>
        <v/>
      </c>
      <c r="J28" s="20" t="inlineStr"/>
      <c r="K28" s="32" t="inlineStr"/>
      <c r="L28" s="32">
        <f>=IF(OR(J28="",J28=0,J27=""),"",J28/J27-1)</f>
        <v/>
      </c>
      <c r="M28" s="32" t="inlineStr"/>
      <c r="N28" s="32" t="inlineStr"/>
      <c r="O28" s="25" t="inlineStr"/>
      <c r="P28" s="20" t="inlineStr"/>
      <c r="Q28" s="32">
        <f>=IF(OR(P28="",P28=0,P27="",P27=0),"",P28/P27-1)</f>
        <v/>
      </c>
      <c r="R28" s="20" t="inlineStr"/>
      <c r="S28" s="32">
        <f>=IF(OR(R28="",R28=0,R27="",R27=0),"",R28/R27-1)</f>
        <v/>
      </c>
      <c r="T28" s="20" t="inlineStr"/>
      <c r="U28" s="32">
        <f>=IF(OR(T28="",T28=0,T27="",T27=0),"",T28/T27-1)</f>
        <v/>
      </c>
      <c r="V28" s="20" t="inlineStr"/>
      <c r="W28" s="32">
        <f>=IF(OR(V28="",V28=0,V27="",V27=0),"",V28/V27-1)</f>
        <v/>
      </c>
      <c r="X28" s="33" t="inlineStr"/>
      <c r="Y28" s="32">
        <f>=IF(OR(X28="",X28=0,X27="",X27=0),"",X28/X27-1)</f>
        <v/>
      </c>
      <c r="Z28" s="20" t="inlineStr"/>
      <c r="AA28" s="32">
        <f>=IF(OR(Z28="",Z28=0,Z27="",Z27=0),"",Z28/Z27-1)</f>
        <v/>
      </c>
      <c r="AB28" s="20" t="inlineStr"/>
      <c r="AC28" s="32">
        <f>=IF(OR(AB28="",AB28=0,AB27="",AB27=0),"",AB28/AB27-1)</f>
        <v/>
      </c>
      <c r="AD28" s="20" t="inlineStr"/>
      <c r="AE28" s="32">
        <f>=IF(OR(AD28="",AD28=0,AD27="",AD27=0),"",AD28/AD27-1)</f>
        <v/>
      </c>
      <c r="AF28" s="25" t="inlineStr"/>
      <c r="AG28" s="20" t="inlineStr"/>
      <c r="AH28" s="32">
        <f>=IF(OR(AG28="",AG28=0,AG27="",AG27=0),"",AG28/AG27-1)</f>
        <v/>
      </c>
      <c r="AI28" s="20" t="inlineStr"/>
      <c r="AJ28" s="20" t="inlineStr"/>
      <c r="AK28" s="20" t="inlineStr"/>
      <c r="AM28" s="25" t="inlineStr"/>
      <c r="AO28" s="25" t="inlineStr"/>
    </row>
    <row r="29">
      <c r="A29" s="23" t="inlineStr"/>
      <c r="B29" s="18" t="inlineStr"/>
      <c r="C29" s="18" t="inlineStr"/>
      <c r="D29" s="18" t="inlineStr"/>
      <c r="E29" s="31">
        <f>=IF(OR(B29="",B28=""),"",ROUND((B29-B28)*10000,1))</f>
        <v/>
      </c>
      <c r="F29" s="31">
        <f>=IF(OR(C29="",C28=""),"",ROUND((C29-C28)*10000,1))</f>
        <v/>
      </c>
      <c r="G29" s="31">
        <f>=IF(OR(D29="",D28=""),"",ROUND((D29-D28)*10000,1))</f>
        <v/>
      </c>
      <c r="H29" s="31">
        <f>=IF(OR(B29="",C29=""),"",ROUND((C29-B29)*10000,1))</f>
        <v/>
      </c>
      <c r="J29" s="20" t="inlineStr"/>
      <c r="K29" s="32" t="inlineStr"/>
      <c r="L29" s="32">
        <f>=IF(OR(J29="",J29=0,J28=""),"",J29/J28-1)</f>
        <v/>
      </c>
      <c r="M29" s="32" t="inlineStr"/>
      <c r="N29" s="32" t="inlineStr"/>
      <c r="O29" s="25" t="inlineStr"/>
      <c r="P29" s="20" t="inlineStr"/>
      <c r="Q29" s="32">
        <f>=IF(OR(P29="",P29=0,P28="",P28=0),"",P29/P28-1)</f>
        <v/>
      </c>
      <c r="R29" s="20" t="inlineStr"/>
      <c r="S29" s="32">
        <f>=IF(OR(R29="",R29=0,R28="",R28=0),"",R29/R28-1)</f>
        <v/>
      </c>
      <c r="T29" s="20" t="inlineStr"/>
      <c r="U29" s="32">
        <f>=IF(OR(T29="",T29=0,T28="",T28=0),"",T29/T28-1)</f>
        <v/>
      </c>
      <c r="V29" s="20" t="inlineStr"/>
      <c r="W29" s="32">
        <f>=IF(OR(V29="",V29=0,V28="",V28=0),"",V29/V28-1)</f>
        <v/>
      </c>
      <c r="X29" s="33" t="inlineStr"/>
      <c r="Y29" s="32">
        <f>=IF(OR(X29="",X29=0,X28="",X28=0),"",X29/X28-1)</f>
        <v/>
      </c>
      <c r="Z29" s="20" t="inlineStr"/>
      <c r="AA29" s="32">
        <f>=IF(OR(Z29="",Z29=0,Z28="",Z28=0),"",Z29/Z28-1)</f>
        <v/>
      </c>
      <c r="AB29" s="20" t="inlineStr"/>
      <c r="AC29" s="32">
        <f>=IF(OR(AB29="",AB29=0,AB28="",AB28=0),"",AB29/AB28-1)</f>
        <v/>
      </c>
      <c r="AD29" s="20" t="inlineStr"/>
      <c r="AE29" s="32">
        <f>=IF(OR(AD29="",AD29=0,AD28="",AD28=0),"",AD29/AD28-1)</f>
        <v/>
      </c>
      <c r="AF29" s="25" t="inlineStr"/>
      <c r="AG29" s="20" t="inlineStr"/>
      <c r="AH29" s="32">
        <f>=IF(OR(AG29="",AG29=0,AG28="",AG28=0),"",AG29/AG28-1)</f>
        <v/>
      </c>
      <c r="AI29" s="20" t="inlineStr"/>
      <c r="AJ29" s="20" t="inlineStr"/>
      <c r="AK29" s="20" t="inlineStr"/>
      <c r="AM29" s="25" t="inlineStr"/>
      <c r="AO29" s="25" t="inlineStr"/>
    </row>
    <row r="30">
      <c r="A30" s="23" t="inlineStr"/>
      <c r="B30" s="18" t="inlineStr"/>
      <c r="C30" s="18" t="inlineStr"/>
      <c r="D30" s="18" t="inlineStr"/>
      <c r="E30" s="31">
        <f>=IF(OR(B30="",B29=""),"",ROUND((B30-B29)*10000,1))</f>
        <v/>
      </c>
      <c r="F30" s="31">
        <f>=IF(OR(C30="",C29=""),"",ROUND((C30-C29)*10000,1))</f>
        <v/>
      </c>
      <c r="G30" s="31">
        <f>=IF(OR(D30="",D29=""),"",ROUND((D30-D29)*10000,1))</f>
        <v/>
      </c>
      <c r="H30" s="31">
        <f>=IF(OR(B30="",C30=""),"",ROUND((C30-B30)*10000,1))</f>
        <v/>
      </c>
      <c r="J30" s="20" t="inlineStr"/>
      <c r="K30" s="32" t="inlineStr"/>
      <c r="L30" s="32">
        <f>=IF(OR(J30="",J30=0,J29=""),"",J30/J29-1)</f>
        <v/>
      </c>
      <c r="M30" s="32" t="inlineStr"/>
      <c r="N30" s="32" t="inlineStr"/>
      <c r="O30" s="25" t="inlineStr"/>
      <c r="P30" s="20" t="inlineStr"/>
      <c r="Q30" s="32">
        <f>=IF(OR(P30="",P30=0,P29="",P29=0),"",P30/P29-1)</f>
        <v/>
      </c>
      <c r="R30" s="20" t="inlineStr"/>
      <c r="S30" s="32">
        <f>=IF(OR(R30="",R30=0,R29="",R29=0),"",R30/R29-1)</f>
        <v/>
      </c>
      <c r="T30" s="20" t="inlineStr"/>
      <c r="U30" s="32">
        <f>=IF(OR(T30="",T30=0,T29="",T29=0),"",T30/T29-1)</f>
        <v/>
      </c>
      <c r="V30" s="20" t="inlineStr"/>
      <c r="W30" s="32">
        <f>=IF(OR(V30="",V30=0,V29="",V29=0),"",V30/V29-1)</f>
        <v/>
      </c>
      <c r="X30" s="33" t="inlineStr"/>
      <c r="Y30" s="32">
        <f>=IF(OR(X30="",X30=0,X29="",X29=0),"",X30/X29-1)</f>
        <v/>
      </c>
      <c r="Z30" s="20" t="inlineStr"/>
      <c r="AA30" s="32">
        <f>=IF(OR(Z30="",Z30=0,Z29="",Z29=0),"",Z30/Z29-1)</f>
        <v/>
      </c>
      <c r="AB30" s="20" t="inlineStr"/>
      <c r="AC30" s="32">
        <f>=IF(OR(AB30="",AB30=0,AB29="",AB29=0),"",AB30/AB29-1)</f>
        <v/>
      </c>
      <c r="AD30" s="20" t="inlineStr"/>
      <c r="AE30" s="32">
        <f>=IF(OR(AD30="",AD30=0,AD29="",AD29=0),"",AD30/AD29-1)</f>
        <v/>
      </c>
      <c r="AF30" s="25" t="inlineStr"/>
      <c r="AG30" s="20" t="inlineStr"/>
      <c r="AH30" s="32">
        <f>=IF(OR(AG30="",AG30=0,AG29="",AG29=0),"",AG30/AG29-1)</f>
        <v/>
      </c>
      <c r="AI30" s="20" t="inlineStr"/>
      <c r="AJ30" s="20" t="inlineStr"/>
      <c r="AK30" s="20" t="inlineStr"/>
      <c r="AM30" s="25" t="inlineStr"/>
      <c r="AO30" s="25" t="inlineStr"/>
    </row>
    <row r="31">
      <c r="A31" s="23" t="inlineStr"/>
      <c r="B31" s="18" t="inlineStr"/>
      <c r="C31" s="18" t="inlineStr"/>
      <c r="D31" s="18" t="inlineStr"/>
      <c r="E31" s="31">
        <f>=IF(OR(B31="",B30=""),"",ROUND((B31-B30)*10000,1))</f>
        <v/>
      </c>
      <c r="F31" s="31">
        <f>=IF(OR(C31="",C30=""),"",ROUND((C31-C30)*10000,1))</f>
        <v/>
      </c>
      <c r="G31" s="31">
        <f>=IF(OR(D31="",D30=""),"",ROUND((D31-D30)*10000,1))</f>
        <v/>
      </c>
      <c r="H31" s="31">
        <f>=IF(OR(B31="",C31=""),"",ROUND((C31-B31)*10000,1))</f>
        <v/>
      </c>
      <c r="J31" s="20" t="inlineStr"/>
      <c r="K31" s="32" t="inlineStr"/>
      <c r="L31" s="32">
        <f>=IF(OR(J31="",J31=0,J30=""),"",J31/J30-1)</f>
        <v/>
      </c>
      <c r="M31" s="32" t="inlineStr"/>
      <c r="N31" s="32" t="inlineStr"/>
      <c r="O31" s="25" t="inlineStr"/>
      <c r="P31" s="20" t="inlineStr"/>
      <c r="Q31" s="32">
        <f>=IF(OR(P31="",P31=0,P30="",P30=0),"",P31/P30-1)</f>
        <v/>
      </c>
      <c r="R31" s="20" t="inlineStr"/>
      <c r="S31" s="32">
        <f>=IF(OR(R31="",R31=0,R30="",R30=0),"",R31/R30-1)</f>
        <v/>
      </c>
      <c r="T31" s="20" t="inlineStr"/>
      <c r="U31" s="32">
        <f>=IF(OR(T31="",T31=0,T30="",T30=0),"",T31/T30-1)</f>
        <v/>
      </c>
      <c r="V31" s="20" t="inlineStr"/>
      <c r="W31" s="32">
        <f>=IF(OR(V31="",V31=0,V30="",V30=0),"",V31/V30-1)</f>
        <v/>
      </c>
      <c r="X31" s="33" t="inlineStr"/>
      <c r="Y31" s="32">
        <f>=IF(OR(X31="",X31=0,X30="",X30=0),"",X31/X30-1)</f>
        <v/>
      </c>
      <c r="Z31" s="20" t="inlineStr"/>
      <c r="AA31" s="32">
        <f>=IF(OR(Z31="",Z31=0,Z30="",Z30=0),"",Z31/Z30-1)</f>
        <v/>
      </c>
      <c r="AB31" s="20" t="inlineStr"/>
      <c r="AC31" s="32">
        <f>=IF(OR(AB31="",AB31=0,AB30="",AB30=0),"",AB31/AB30-1)</f>
        <v/>
      </c>
      <c r="AD31" s="20" t="inlineStr"/>
      <c r="AE31" s="32">
        <f>=IF(OR(AD31="",AD31=0,AD30="",AD30=0),"",AD31/AD30-1)</f>
        <v/>
      </c>
      <c r="AF31" s="25" t="inlineStr"/>
      <c r="AG31" s="20" t="inlineStr"/>
      <c r="AH31" s="32">
        <f>=IF(OR(AG31="",AG31=0,AG30="",AG30=0),"",AG31/AG30-1)</f>
        <v/>
      </c>
      <c r="AI31" s="20" t="inlineStr"/>
      <c r="AJ31" s="20" t="inlineStr"/>
      <c r="AK31" s="20" t="inlineStr"/>
      <c r="AM31" s="25" t="inlineStr"/>
      <c r="AO31" s="25" t="inlineStr"/>
    </row>
    <row r="32">
      <c r="A32" s="23" t="inlineStr"/>
      <c r="B32" s="18" t="inlineStr"/>
      <c r="C32" s="18" t="inlineStr"/>
      <c r="D32" s="18" t="inlineStr"/>
      <c r="E32" s="31">
        <f>=IF(OR(B32="",B31=""),"",ROUND((B32-B31)*10000,1))</f>
        <v/>
      </c>
      <c r="F32" s="31">
        <f>=IF(OR(C32="",C31=""),"",ROUND((C32-C31)*10000,1))</f>
        <v/>
      </c>
      <c r="G32" s="31">
        <f>=IF(OR(D32="",D31=""),"",ROUND((D32-D31)*10000,1))</f>
        <v/>
      </c>
      <c r="H32" s="31">
        <f>=IF(OR(B32="",C32=""),"",ROUND((C32-B32)*10000,1))</f>
        <v/>
      </c>
      <c r="J32" s="20" t="inlineStr"/>
      <c r="K32" s="32" t="inlineStr"/>
      <c r="L32" s="32">
        <f>=IF(OR(J32="",J32=0,J31=""),"",J32/J31-1)</f>
        <v/>
      </c>
      <c r="M32" s="32" t="inlineStr"/>
      <c r="N32" s="32" t="inlineStr"/>
      <c r="O32" s="25" t="inlineStr"/>
      <c r="P32" s="20" t="inlineStr"/>
      <c r="Q32" s="32">
        <f>=IF(OR(P32="",P32=0,P31="",P31=0),"",P32/P31-1)</f>
        <v/>
      </c>
      <c r="R32" s="20" t="inlineStr"/>
      <c r="S32" s="32">
        <f>=IF(OR(R32="",R32=0,R31="",R31=0),"",R32/R31-1)</f>
        <v/>
      </c>
      <c r="T32" s="20" t="inlineStr"/>
      <c r="U32" s="32">
        <f>=IF(OR(T32="",T32=0,T31="",T31=0),"",T32/T31-1)</f>
        <v/>
      </c>
      <c r="V32" s="20" t="inlineStr"/>
      <c r="W32" s="32">
        <f>=IF(OR(V32="",V32=0,V31="",V31=0),"",V32/V31-1)</f>
        <v/>
      </c>
      <c r="X32" s="33" t="inlineStr"/>
      <c r="Y32" s="32">
        <f>=IF(OR(X32="",X32=0,X31="",X31=0),"",X32/X31-1)</f>
        <v/>
      </c>
      <c r="Z32" s="20" t="inlineStr"/>
      <c r="AA32" s="32">
        <f>=IF(OR(Z32="",Z32=0,Z31="",Z31=0),"",Z32/Z31-1)</f>
        <v/>
      </c>
      <c r="AB32" s="20" t="inlineStr"/>
      <c r="AC32" s="32">
        <f>=IF(OR(AB32="",AB32=0,AB31="",AB31=0),"",AB32/AB31-1)</f>
        <v/>
      </c>
      <c r="AD32" s="20" t="inlineStr"/>
      <c r="AE32" s="32">
        <f>=IF(OR(AD32="",AD32=0,AD31="",AD31=0),"",AD32/AD31-1)</f>
        <v/>
      </c>
      <c r="AF32" s="25" t="inlineStr"/>
      <c r="AG32" s="20" t="inlineStr"/>
      <c r="AH32" s="32">
        <f>=IF(OR(AG32="",AG32=0,AG31="",AG31=0),"",AG32/AG31-1)</f>
        <v/>
      </c>
      <c r="AI32" s="20" t="inlineStr"/>
      <c r="AJ32" s="20" t="inlineStr"/>
      <c r="AK32" s="20" t="inlineStr"/>
      <c r="AM32" s="25" t="inlineStr"/>
      <c r="AO32" s="25" t="inlineStr"/>
    </row>
    <row r="33">
      <c r="A33" s="23" t="inlineStr"/>
      <c r="B33" s="18" t="inlineStr"/>
      <c r="C33" s="18" t="inlineStr"/>
      <c r="D33" s="18" t="inlineStr"/>
      <c r="E33" s="31">
        <f>=IF(OR(B33="",B32=""),"",ROUND((B33-B32)*10000,1))</f>
        <v/>
      </c>
      <c r="F33" s="31">
        <f>=IF(OR(C33="",C32=""),"",ROUND((C33-C32)*10000,1))</f>
        <v/>
      </c>
      <c r="G33" s="31">
        <f>=IF(OR(D33="",D32=""),"",ROUND((D33-D32)*10000,1))</f>
        <v/>
      </c>
      <c r="H33" s="31">
        <f>=IF(OR(B33="",C33=""),"",ROUND((C33-B33)*10000,1))</f>
        <v/>
      </c>
      <c r="J33" s="20" t="inlineStr"/>
      <c r="K33" s="32" t="inlineStr"/>
      <c r="L33" s="32">
        <f>=IF(OR(J33="",J33=0,J32=""),"",J33/J32-1)</f>
        <v/>
      </c>
      <c r="M33" s="32" t="inlineStr"/>
      <c r="N33" s="32" t="inlineStr"/>
      <c r="O33" s="25" t="inlineStr"/>
      <c r="P33" s="20" t="inlineStr"/>
      <c r="Q33" s="32">
        <f>=IF(OR(P33="",P33=0,P32="",P32=0),"",P33/P32-1)</f>
        <v/>
      </c>
      <c r="R33" s="20" t="inlineStr"/>
      <c r="S33" s="32">
        <f>=IF(OR(R33="",R33=0,R32="",R32=0),"",R33/R32-1)</f>
        <v/>
      </c>
      <c r="T33" s="20" t="inlineStr"/>
      <c r="U33" s="32">
        <f>=IF(OR(T33="",T33=0,T32="",T32=0),"",T33/T32-1)</f>
        <v/>
      </c>
      <c r="V33" s="20" t="inlineStr"/>
      <c r="W33" s="32">
        <f>=IF(OR(V33="",V33=0,V32="",V32=0),"",V33/V32-1)</f>
        <v/>
      </c>
      <c r="X33" s="33" t="inlineStr"/>
      <c r="Y33" s="32">
        <f>=IF(OR(X33="",X33=0,X32="",X32=0),"",X33/X32-1)</f>
        <v/>
      </c>
      <c r="Z33" s="20" t="inlineStr"/>
      <c r="AA33" s="32">
        <f>=IF(OR(Z33="",Z33=0,Z32="",Z32=0),"",Z33/Z32-1)</f>
        <v/>
      </c>
      <c r="AB33" s="20" t="inlineStr"/>
      <c r="AC33" s="32">
        <f>=IF(OR(AB33="",AB33=0,AB32="",AB32=0),"",AB33/AB32-1)</f>
        <v/>
      </c>
      <c r="AD33" s="20" t="inlineStr"/>
      <c r="AE33" s="32">
        <f>=IF(OR(AD33="",AD33=0,AD32="",AD32=0),"",AD33/AD32-1)</f>
        <v/>
      </c>
      <c r="AF33" s="25" t="inlineStr"/>
      <c r="AG33" s="20" t="inlineStr"/>
      <c r="AH33" s="32">
        <f>=IF(OR(AG33="",AG33=0,AG32="",AG32=0),"",AG33/AG32-1)</f>
        <v/>
      </c>
      <c r="AI33" s="20" t="inlineStr"/>
      <c r="AJ33" s="20" t="inlineStr"/>
      <c r="AK33" s="20" t="inlineStr"/>
      <c r="AM33" s="25" t="inlineStr"/>
      <c r="AO33" s="25" t="inlineStr"/>
    </row>
    <row r="34">
      <c r="A34" s="23" t="inlineStr"/>
      <c r="B34" s="18" t="inlineStr"/>
      <c r="C34" s="18" t="inlineStr"/>
      <c r="D34" s="18" t="inlineStr"/>
      <c r="E34" s="31">
        <f>=IF(OR(B34="",B33=""),"",ROUND((B34-B33)*10000,1))</f>
        <v/>
      </c>
      <c r="F34" s="31">
        <f>=IF(OR(C34="",C33=""),"",ROUND((C34-C33)*10000,1))</f>
        <v/>
      </c>
      <c r="G34" s="31">
        <f>=IF(OR(D34="",D33=""),"",ROUND((D34-D33)*10000,1))</f>
        <v/>
      </c>
      <c r="H34" s="31">
        <f>=IF(OR(B34="",C34=""),"",ROUND((C34-B34)*10000,1))</f>
        <v/>
      </c>
      <c r="J34" s="20" t="inlineStr"/>
      <c r="K34" s="32" t="inlineStr"/>
      <c r="L34" s="32">
        <f>=IF(OR(J34="",J34=0,J33=""),"",J34/J33-1)</f>
        <v/>
      </c>
      <c r="M34" s="32" t="inlineStr"/>
      <c r="N34" s="32" t="inlineStr"/>
      <c r="O34" s="25" t="inlineStr"/>
      <c r="P34" s="20" t="inlineStr"/>
      <c r="Q34" s="32">
        <f>=IF(OR(P34="",P34=0,P33="",P33=0),"",P34/P33-1)</f>
        <v/>
      </c>
      <c r="R34" s="20" t="inlineStr"/>
      <c r="S34" s="32">
        <f>=IF(OR(R34="",R34=0,R33="",R33=0),"",R34/R33-1)</f>
        <v/>
      </c>
      <c r="T34" s="20" t="inlineStr"/>
      <c r="U34" s="32">
        <f>=IF(OR(T34="",T34=0,T33="",T33=0),"",T34/T33-1)</f>
        <v/>
      </c>
      <c r="V34" s="20" t="inlineStr"/>
      <c r="W34" s="32">
        <f>=IF(OR(V34="",V34=0,V33="",V33=0),"",V34/V33-1)</f>
        <v/>
      </c>
      <c r="X34" s="33" t="inlineStr"/>
      <c r="Y34" s="32">
        <f>=IF(OR(X34="",X34=0,X33="",X33=0),"",X34/X33-1)</f>
        <v/>
      </c>
      <c r="Z34" s="20" t="inlineStr"/>
      <c r="AA34" s="32">
        <f>=IF(OR(Z34="",Z34=0,Z33="",Z33=0),"",Z34/Z33-1)</f>
        <v/>
      </c>
      <c r="AB34" s="20" t="inlineStr"/>
      <c r="AC34" s="32">
        <f>=IF(OR(AB34="",AB34=0,AB33="",AB33=0),"",AB34/AB33-1)</f>
        <v/>
      </c>
      <c r="AD34" s="20" t="inlineStr"/>
      <c r="AE34" s="32">
        <f>=IF(OR(AD34="",AD34=0,AD33="",AD33=0),"",AD34/AD33-1)</f>
        <v/>
      </c>
      <c r="AF34" s="25" t="inlineStr"/>
      <c r="AG34" s="20" t="inlineStr"/>
      <c r="AH34" s="32">
        <f>=IF(OR(AG34="",AG34=0,AG33="",AG33=0),"",AG34/AG33-1)</f>
        <v/>
      </c>
      <c r="AI34" s="20" t="inlineStr"/>
      <c r="AJ34" s="20" t="inlineStr"/>
      <c r="AK34" s="20" t="inlineStr"/>
      <c r="AM34" s="25" t="inlineStr"/>
      <c r="AO34" s="25" t="inlineStr"/>
    </row>
    <row r="35">
      <c r="A35" s="23" t="inlineStr"/>
      <c r="B35" s="18" t="inlineStr"/>
      <c r="C35" s="18" t="inlineStr"/>
      <c r="D35" s="18" t="inlineStr"/>
      <c r="E35" s="31">
        <f>=IF(OR(B35="",B34=""),"",ROUND((B35-B34)*10000,1))</f>
        <v/>
      </c>
      <c r="F35" s="31">
        <f>=IF(OR(C35="",C34=""),"",ROUND((C35-C34)*10000,1))</f>
        <v/>
      </c>
      <c r="G35" s="31">
        <f>=IF(OR(D35="",D34=""),"",ROUND((D35-D34)*10000,1))</f>
        <v/>
      </c>
      <c r="H35" s="31">
        <f>=IF(OR(B35="",C35=""),"",ROUND((C35-B35)*10000,1))</f>
        <v/>
      </c>
      <c r="J35" s="20" t="inlineStr"/>
      <c r="K35" s="32" t="inlineStr"/>
      <c r="L35" s="32">
        <f>=IF(OR(J35="",J35=0,J34=""),"",J35/J34-1)</f>
        <v/>
      </c>
      <c r="M35" s="32" t="inlineStr"/>
      <c r="N35" s="32" t="inlineStr"/>
      <c r="O35" s="25" t="inlineStr"/>
      <c r="P35" s="20" t="inlineStr"/>
      <c r="Q35" s="32">
        <f>=IF(OR(P35="",P35=0,P34="",P34=0),"",P35/P34-1)</f>
        <v/>
      </c>
      <c r="R35" s="20" t="inlineStr"/>
      <c r="S35" s="32">
        <f>=IF(OR(R35="",R35=0,R34="",R34=0),"",R35/R34-1)</f>
        <v/>
      </c>
      <c r="T35" s="20" t="inlineStr"/>
      <c r="U35" s="32">
        <f>=IF(OR(T35="",T35=0,T34="",T34=0),"",T35/T34-1)</f>
        <v/>
      </c>
      <c r="V35" s="20" t="inlineStr"/>
      <c r="W35" s="32">
        <f>=IF(OR(V35="",V35=0,V34="",V34=0),"",V35/V34-1)</f>
        <v/>
      </c>
      <c r="X35" s="33" t="inlineStr"/>
      <c r="Y35" s="32">
        <f>=IF(OR(X35="",X35=0,X34="",X34=0),"",X35/X34-1)</f>
        <v/>
      </c>
      <c r="Z35" s="20" t="inlineStr"/>
      <c r="AA35" s="32">
        <f>=IF(OR(Z35="",Z35=0,Z34="",Z34=0),"",Z35/Z34-1)</f>
        <v/>
      </c>
      <c r="AB35" s="20" t="inlineStr"/>
      <c r="AC35" s="32">
        <f>=IF(OR(AB35="",AB35=0,AB34="",AB34=0),"",AB35/AB34-1)</f>
        <v/>
      </c>
      <c r="AD35" s="20" t="inlineStr"/>
      <c r="AE35" s="32">
        <f>=IF(OR(AD35="",AD35=0,AD34="",AD34=0),"",AD35/AD34-1)</f>
        <v/>
      </c>
      <c r="AF35" s="25" t="inlineStr"/>
      <c r="AG35" s="20" t="inlineStr"/>
      <c r="AH35" s="32">
        <f>=IF(OR(AG35="",AG35=0,AG34="",AG34=0),"",AG35/AG34-1)</f>
        <v/>
      </c>
      <c r="AI35" s="20" t="inlineStr"/>
      <c r="AJ35" s="20" t="inlineStr"/>
      <c r="AK35" s="20" t="inlineStr"/>
      <c r="AM35" s="25" t="inlineStr"/>
      <c r="AO35" s="25" t="inlineStr"/>
    </row>
    <row r="36">
      <c r="A36" s="23" t="inlineStr"/>
      <c r="B36" s="18" t="inlineStr"/>
      <c r="C36" s="18" t="inlineStr"/>
      <c r="D36" s="18" t="inlineStr"/>
      <c r="E36" s="31">
        <f>=IF(OR(B36="",B35=""),"",ROUND((B36-B35)*10000,1))</f>
        <v/>
      </c>
      <c r="F36" s="31">
        <f>=IF(OR(C36="",C35=""),"",ROUND((C36-C35)*10000,1))</f>
        <v/>
      </c>
      <c r="G36" s="31">
        <f>=IF(OR(D36="",D35=""),"",ROUND((D36-D35)*10000,1))</f>
        <v/>
      </c>
      <c r="H36" s="31">
        <f>=IF(OR(B36="",C36=""),"",ROUND((C36-B36)*10000,1))</f>
        <v/>
      </c>
      <c r="J36" s="20" t="inlineStr"/>
      <c r="K36" s="32" t="inlineStr"/>
      <c r="L36" s="32">
        <f>=IF(OR(J36="",J36=0,J35=""),"",J36/J35-1)</f>
        <v/>
      </c>
      <c r="M36" s="32" t="inlineStr"/>
      <c r="N36" s="32" t="inlineStr"/>
      <c r="O36" s="25" t="inlineStr"/>
      <c r="P36" s="20" t="inlineStr"/>
      <c r="Q36" s="32">
        <f>=IF(OR(P36="",P36=0,P35="",P35=0),"",P36/P35-1)</f>
        <v/>
      </c>
      <c r="R36" s="20" t="inlineStr"/>
      <c r="S36" s="32">
        <f>=IF(OR(R36="",R36=0,R35="",R35=0),"",R36/R35-1)</f>
        <v/>
      </c>
      <c r="T36" s="20" t="inlineStr"/>
      <c r="U36" s="32">
        <f>=IF(OR(T36="",T36=0,T35="",T35=0),"",T36/T35-1)</f>
        <v/>
      </c>
      <c r="V36" s="20" t="inlineStr"/>
      <c r="W36" s="32">
        <f>=IF(OR(V36="",V36=0,V35="",V35=0),"",V36/V35-1)</f>
        <v/>
      </c>
      <c r="X36" s="33" t="inlineStr"/>
      <c r="Y36" s="32">
        <f>=IF(OR(X36="",X36=0,X35="",X35=0),"",X36/X35-1)</f>
        <v/>
      </c>
      <c r="Z36" s="20" t="inlineStr"/>
      <c r="AA36" s="32">
        <f>=IF(OR(Z36="",Z36=0,Z35="",Z35=0),"",Z36/Z35-1)</f>
        <v/>
      </c>
      <c r="AB36" s="20" t="inlineStr"/>
      <c r="AC36" s="32">
        <f>=IF(OR(AB36="",AB36=0,AB35="",AB35=0),"",AB36/AB35-1)</f>
        <v/>
      </c>
      <c r="AD36" s="20" t="inlineStr"/>
      <c r="AE36" s="32">
        <f>=IF(OR(AD36="",AD36=0,AD35="",AD35=0),"",AD36/AD35-1)</f>
        <v/>
      </c>
      <c r="AF36" s="25" t="inlineStr"/>
      <c r="AG36" s="20" t="inlineStr"/>
      <c r="AH36" s="32">
        <f>=IF(OR(AG36="",AG36=0,AG35="",AG35=0),"",AG36/AG35-1)</f>
        <v/>
      </c>
      <c r="AI36" s="20" t="inlineStr"/>
      <c r="AJ36" s="20" t="inlineStr"/>
      <c r="AK36" s="20" t="inlineStr"/>
      <c r="AM36" s="25" t="inlineStr"/>
      <c r="AO36" s="25" t="inlineStr"/>
    </row>
    <row r="37">
      <c r="A37" s="23" t="inlineStr"/>
      <c r="B37" s="18" t="inlineStr"/>
      <c r="C37" s="18" t="inlineStr"/>
      <c r="D37" s="18" t="inlineStr"/>
      <c r="E37" s="31">
        <f>=IF(OR(B37="",B36=""),"",ROUND((B37-B36)*10000,1))</f>
        <v/>
      </c>
      <c r="F37" s="31">
        <f>=IF(OR(C37="",C36=""),"",ROUND((C37-C36)*10000,1))</f>
        <v/>
      </c>
      <c r="G37" s="31">
        <f>=IF(OR(D37="",D36=""),"",ROUND((D37-D36)*10000,1))</f>
        <v/>
      </c>
      <c r="H37" s="31">
        <f>=IF(OR(B37="",C37=""),"",ROUND((C37-B37)*10000,1))</f>
        <v/>
      </c>
      <c r="J37" s="20" t="inlineStr"/>
      <c r="K37" s="32" t="inlineStr"/>
      <c r="L37" s="32">
        <f>=IF(OR(J37="",J37=0,J36=""),"",J37/J36-1)</f>
        <v/>
      </c>
      <c r="M37" s="32" t="inlineStr"/>
      <c r="N37" s="32" t="inlineStr"/>
      <c r="O37" s="25" t="inlineStr"/>
      <c r="P37" s="20" t="inlineStr"/>
      <c r="Q37" s="32">
        <f>=IF(OR(P37="",P37=0,P36="",P36=0),"",P37/P36-1)</f>
        <v/>
      </c>
      <c r="R37" s="20" t="inlineStr"/>
      <c r="S37" s="32">
        <f>=IF(OR(R37="",R37=0,R36="",R36=0),"",R37/R36-1)</f>
        <v/>
      </c>
      <c r="T37" s="20" t="inlineStr"/>
      <c r="U37" s="32">
        <f>=IF(OR(T37="",T37=0,T36="",T36=0),"",T37/T36-1)</f>
        <v/>
      </c>
      <c r="V37" s="20" t="inlineStr"/>
      <c r="W37" s="32">
        <f>=IF(OR(V37="",V37=0,V36="",V36=0),"",V37/V36-1)</f>
        <v/>
      </c>
      <c r="X37" s="33" t="inlineStr"/>
      <c r="Y37" s="32">
        <f>=IF(OR(X37="",X37=0,X36="",X36=0),"",X37/X36-1)</f>
        <v/>
      </c>
      <c r="Z37" s="20" t="inlineStr"/>
      <c r="AA37" s="32">
        <f>=IF(OR(Z37="",Z37=0,Z36="",Z36=0),"",Z37/Z36-1)</f>
        <v/>
      </c>
      <c r="AB37" s="20" t="inlineStr"/>
      <c r="AC37" s="32">
        <f>=IF(OR(AB37="",AB37=0,AB36="",AB36=0),"",AB37/AB36-1)</f>
        <v/>
      </c>
      <c r="AD37" s="20" t="inlineStr"/>
      <c r="AE37" s="32">
        <f>=IF(OR(AD37="",AD37=0,AD36="",AD36=0),"",AD37/AD36-1)</f>
        <v/>
      </c>
      <c r="AF37" s="25" t="inlineStr"/>
      <c r="AG37" s="20" t="inlineStr"/>
      <c r="AH37" s="32">
        <f>=IF(OR(AG37="",AG37=0,AG36="",AG36=0),"",AG37/AG36-1)</f>
        <v/>
      </c>
      <c r="AI37" s="20" t="inlineStr"/>
      <c r="AJ37" s="20" t="inlineStr"/>
      <c r="AK37" s="20" t="inlineStr"/>
      <c r="AM37" s="25" t="inlineStr"/>
      <c r="AO37" s="25" t="inlineStr"/>
    </row>
    <row r="38">
      <c r="A38" s="23" t="inlineStr"/>
      <c r="B38" s="18" t="inlineStr"/>
      <c r="C38" s="18" t="inlineStr"/>
      <c r="D38" s="18" t="inlineStr"/>
      <c r="E38" s="31">
        <f>=IF(OR(B38="",B37=""),"",ROUND((B38-B37)*10000,1))</f>
        <v/>
      </c>
      <c r="F38" s="31">
        <f>=IF(OR(C38="",C37=""),"",ROUND((C38-C37)*10000,1))</f>
        <v/>
      </c>
      <c r="G38" s="31">
        <f>=IF(OR(D38="",D37=""),"",ROUND((D38-D37)*10000,1))</f>
        <v/>
      </c>
      <c r="H38" s="31">
        <f>=IF(OR(B38="",C38=""),"",ROUND((C38-B38)*10000,1))</f>
        <v/>
      </c>
      <c r="J38" s="20" t="inlineStr"/>
      <c r="K38" s="32" t="inlineStr"/>
      <c r="L38" s="32">
        <f>=IF(OR(J38="",J38=0,J37=""),"",J38/J37-1)</f>
        <v/>
      </c>
      <c r="M38" s="32" t="inlineStr"/>
      <c r="N38" s="32" t="inlineStr"/>
      <c r="O38" s="25" t="inlineStr"/>
      <c r="P38" s="20" t="inlineStr"/>
      <c r="Q38" s="32">
        <f>=IF(OR(P38="",P38=0,P37="",P37=0),"",P38/P37-1)</f>
        <v/>
      </c>
      <c r="R38" s="20" t="inlineStr"/>
      <c r="S38" s="32">
        <f>=IF(OR(R38="",R38=0,R37="",R37=0),"",R38/R37-1)</f>
        <v/>
      </c>
      <c r="T38" s="20" t="inlineStr"/>
      <c r="U38" s="32">
        <f>=IF(OR(T38="",T38=0,T37="",T37=0),"",T38/T37-1)</f>
        <v/>
      </c>
      <c r="V38" s="20" t="inlineStr"/>
      <c r="W38" s="32">
        <f>=IF(OR(V38="",V38=0,V37="",V37=0),"",V38/V37-1)</f>
        <v/>
      </c>
      <c r="X38" s="33" t="inlineStr"/>
      <c r="Y38" s="32">
        <f>=IF(OR(X38="",X38=0,X37="",X37=0),"",X38/X37-1)</f>
        <v/>
      </c>
      <c r="Z38" s="20" t="inlineStr"/>
      <c r="AA38" s="32">
        <f>=IF(OR(Z38="",Z38=0,Z37="",Z37=0),"",Z38/Z37-1)</f>
        <v/>
      </c>
      <c r="AB38" s="20" t="inlineStr"/>
      <c r="AC38" s="32">
        <f>=IF(OR(AB38="",AB38=0,AB37="",AB37=0),"",AB38/AB37-1)</f>
        <v/>
      </c>
      <c r="AD38" s="20" t="inlineStr"/>
      <c r="AE38" s="32">
        <f>=IF(OR(AD38="",AD38=0,AD37="",AD37=0),"",AD38/AD37-1)</f>
        <v/>
      </c>
      <c r="AF38" s="25" t="inlineStr"/>
      <c r="AG38" s="20" t="inlineStr"/>
      <c r="AH38" s="32">
        <f>=IF(OR(AG38="",AG38=0,AG37="",AG37=0),"",AG38/AG37-1)</f>
        <v/>
      </c>
      <c r="AI38" s="20" t="inlineStr"/>
      <c r="AJ38" s="20" t="inlineStr"/>
      <c r="AK38" s="20" t="inlineStr"/>
      <c r="AM38" s="25" t="inlineStr"/>
      <c r="AO38" s="25" t="inlineStr"/>
    </row>
    <row r="39">
      <c r="A39" s="23" t="inlineStr"/>
      <c r="B39" s="18" t="inlineStr"/>
      <c r="C39" s="18" t="inlineStr"/>
      <c r="D39" s="18" t="inlineStr"/>
      <c r="E39" s="31">
        <f>=IF(OR(B39="",B38=""),"",ROUND((B39-B38)*10000,1))</f>
        <v/>
      </c>
      <c r="F39" s="31">
        <f>=IF(OR(C39="",C38=""),"",ROUND((C39-C38)*10000,1))</f>
        <v/>
      </c>
      <c r="G39" s="31">
        <f>=IF(OR(D39="",D38=""),"",ROUND((D39-D38)*10000,1))</f>
        <v/>
      </c>
      <c r="H39" s="31">
        <f>=IF(OR(B39="",C39=""),"",ROUND((C39-B39)*10000,1))</f>
        <v/>
      </c>
      <c r="J39" s="20" t="inlineStr"/>
      <c r="K39" s="32" t="inlineStr"/>
      <c r="L39" s="32">
        <f>=IF(OR(J39="",J39=0,J38=""),"",J39/J38-1)</f>
        <v/>
      </c>
      <c r="M39" s="32" t="inlineStr"/>
      <c r="N39" s="32" t="inlineStr"/>
      <c r="O39" s="25" t="inlineStr"/>
      <c r="P39" s="20" t="inlineStr"/>
      <c r="Q39" s="32">
        <f>=IF(OR(P39="",P39=0,P38="",P38=0),"",P39/P38-1)</f>
        <v/>
      </c>
      <c r="R39" s="20" t="inlineStr"/>
      <c r="S39" s="32">
        <f>=IF(OR(R39="",R39=0,R38="",R38=0),"",R39/R38-1)</f>
        <v/>
      </c>
      <c r="T39" s="20" t="inlineStr"/>
      <c r="U39" s="32">
        <f>=IF(OR(T39="",T39=0,T38="",T38=0),"",T39/T38-1)</f>
        <v/>
      </c>
      <c r="V39" s="20" t="inlineStr"/>
      <c r="W39" s="32">
        <f>=IF(OR(V39="",V39=0,V38="",V38=0),"",V39/V38-1)</f>
        <v/>
      </c>
      <c r="X39" s="33" t="inlineStr"/>
      <c r="Y39" s="32">
        <f>=IF(OR(X39="",X39=0,X38="",X38=0),"",X39/X38-1)</f>
        <v/>
      </c>
      <c r="Z39" s="20" t="inlineStr"/>
      <c r="AA39" s="32">
        <f>=IF(OR(Z39="",Z39=0,Z38="",Z38=0),"",Z39/Z38-1)</f>
        <v/>
      </c>
      <c r="AB39" s="20" t="inlineStr"/>
      <c r="AC39" s="32">
        <f>=IF(OR(AB39="",AB39=0,AB38="",AB38=0),"",AB39/AB38-1)</f>
        <v/>
      </c>
      <c r="AD39" s="20" t="inlineStr"/>
      <c r="AE39" s="32">
        <f>=IF(OR(AD39="",AD39=0,AD38="",AD38=0),"",AD39/AD38-1)</f>
        <v/>
      </c>
      <c r="AF39" s="25" t="inlineStr"/>
      <c r="AG39" s="20" t="inlineStr"/>
      <c r="AH39" s="32">
        <f>=IF(OR(AG39="",AG39=0,AG38="",AG38=0),"",AG39/AG38-1)</f>
        <v/>
      </c>
      <c r="AI39" s="20" t="inlineStr"/>
      <c r="AJ39" s="20" t="inlineStr"/>
      <c r="AK39" s="20" t="inlineStr"/>
      <c r="AM39" s="25" t="inlineStr"/>
      <c r="AO39" s="25" t="inlineStr"/>
    </row>
    <row r="40">
      <c r="A40" s="23" t="inlineStr"/>
      <c r="B40" s="18" t="inlineStr"/>
      <c r="C40" s="18" t="inlineStr"/>
      <c r="D40" s="18" t="inlineStr"/>
      <c r="E40" s="31">
        <f>=IF(OR(B40="",B39=""),"",ROUND((B40-B39)*10000,1))</f>
        <v/>
      </c>
      <c r="F40" s="31">
        <f>=IF(OR(C40="",C39=""),"",ROUND((C40-C39)*10000,1))</f>
        <v/>
      </c>
      <c r="G40" s="31">
        <f>=IF(OR(D40="",D39=""),"",ROUND((D40-D39)*10000,1))</f>
        <v/>
      </c>
      <c r="H40" s="31">
        <f>=IF(OR(B40="",C40=""),"",ROUND((C40-B40)*10000,1))</f>
        <v/>
      </c>
      <c r="J40" s="20" t="inlineStr"/>
      <c r="K40" s="32" t="inlineStr"/>
      <c r="L40" s="32">
        <f>=IF(OR(J40="",J40=0,J39=""),"",J40/J39-1)</f>
        <v/>
      </c>
      <c r="M40" s="32" t="inlineStr"/>
      <c r="N40" s="32" t="inlineStr"/>
      <c r="O40" s="25" t="inlineStr"/>
      <c r="P40" s="20" t="inlineStr"/>
      <c r="Q40" s="32">
        <f>=IF(OR(P40="",P40=0,P39="",P39=0),"",P40/P39-1)</f>
        <v/>
      </c>
      <c r="R40" s="20" t="inlineStr"/>
      <c r="S40" s="32">
        <f>=IF(OR(R40="",R40=0,R39="",R39=0),"",R40/R39-1)</f>
        <v/>
      </c>
      <c r="T40" s="20" t="inlineStr"/>
      <c r="U40" s="32">
        <f>=IF(OR(T40="",T40=0,T39="",T39=0),"",T40/T39-1)</f>
        <v/>
      </c>
      <c r="V40" s="20" t="inlineStr"/>
      <c r="W40" s="32">
        <f>=IF(OR(V40="",V40=0,V39="",V39=0),"",V40/V39-1)</f>
        <v/>
      </c>
      <c r="X40" s="33" t="inlineStr"/>
      <c r="Y40" s="32">
        <f>=IF(OR(X40="",X40=0,X39="",X39=0),"",X40/X39-1)</f>
        <v/>
      </c>
      <c r="Z40" s="20" t="inlineStr"/>
      <c r="AA40" s="32">
        <f>=IF(OR(Z40="",Z40=0,Z39="",Z39=0),"",Z40/Z39-1)</f>
        <v/>
      </c>
      <c r="AB40" s="20" t="inlineStr"/>
      <c r="AC40" s="32">
        <f>=IF(OR(AB40="",AB40=0,AB39="",AB39=0),"",AB40/AB39-1)</f>
        <v/>
      </c>
      <c r="AD40" s="20" t="inlineStr"/>
      <c r="AE40" s="32">
        <f>=IF(OR(AD40="",AD40=0,AD39="",AD39=0),"",AD40/AD39-1)</f>
        <v/>
      </c>
      <c r="AF40" s="25" t="inlineStr"/>
      <c r="AG40" s="20" t="inlineStr"/>
      <c r="AH40" s="32">
        <f>=IF(OR(AG40="",AG40=0,AG39="",AG39=0),"",AG40/AG39-1)</f>
        <v/>
      </c>
      <c r="AI40" s="20" t="inlineStr"/>
      <c r="AJ40" s="20" t="inlineStr"/>
      <c r="AK40" s="20" t="inlineStr"/>
      <c r="AM40" s="25" t="inlineStr"/>
      <c r="AO40" s="25" t="inlineStr"/>
    </row>
    <row r="41">
      <c r="A41" s="0" t="n"/>
      <c r="I41" s="0" t="n"/>
      <c r="K41" s="0" t="n"/>
      <c r="M41" s="0" t="n"/>
      <c r="N41" s="0" t="n"/>
      <c r="O41" s="0" t="n"/>
      <c r="P41" s="0" t="n"/>
      <c r="AI41" s="0" t="n"/>
      <c r="AL41" s="0" t="n"/>
      <c r="AM41" s="0" t="n"/>
      <c r="AN41" s="0" t="n"/>
      <c r="AO41" s="0" t="n"/>
    </row>
  </sheetData>
  <autoFilter ref="A3:AO40"/>
  <mergeCells count="8">
    <mergeCell ref="T2:Y2"/>
    <mergeCell ref="AG2:AL2"/>
    <mergeCell ref="AM2:AN2"/>
    <mergeCell ref="J2:O2"/>
    <mergeCell ref="B2:I2"/>
    <mergeCell ref="A1:AO1"/>
    <mergeCell ref="Z2:AF2"/>
    <mergeCell ref="P2:S2"/>
  </mergeCells>
  <conditionalFormatting sqref="AN4:AN40">
    <cfRule type="cellIs" priority="1" operator="equal" dxfId="0">
      <formula>"否(VIX9D 12.58低于现货=事件周完全未对冲)"</formula>
      <formula>"否(VIX9D 12.58低于现货=事件周完全未对冲)"</formula>
    </cfRule>
    <cfRule type="cellIs" priority="2" operator="equal" dxfId="0">
      <formula>"否(VIX仅16)"</formula>
      <formula>"否(VIX仅16)"</formula>
    </cfRule>
    <cfRule type="cellIs" priority="3" operator="equal" dxfId="0">
      <formula>"否(VIX跌至周内低点)"</formula>
      <formula>"否(VIX跌至周内低点)"</formula>
    </cfRule>
    <cfRule type="cellIs" priority="4" operator="equal" dxfId="0">
      <formula>"否"</formula>
      <formula>"否"</formula>
    </cfRule>
  </conditionalFormatting>
  <conditionalFormatting sqref="AL4:AL40">
    <cfRule type="cellIs" priority="5" operator="equal" dxfId="1">
      <formula>"前端抬升"</formula>
      <formula>"前端抬升"</formula>
    </cfRule>
    <cfRule type="cellIs" priority="6" operator="equal" dxfId="1">
      <formula>"反向"</formula>
      <formula>"反向"</formula>
    </cfRule>
  </conditionalFormatting>
  <conditionalFormatting sqref="AG4:AG40">
    <cfRule type="cellIs" priority="7" operator="greaterThanOrEqual" dxfId="0">
      <formula>20</formula>
    </cfRule>
  </conditionalFormatting>
  <conditionalFormatting sqref="D4:D40">
    <cfRule type="cellIs" priority="8" operator="greaterThanOrEqual" dxfId="0">
      <formula>0.0525</formula>
    </cfRule>
  </conditionalFormatting>
  <conditionalFormatting sqref="E4:E40 F4:F40 G4:G40 K4:K40 L4:L40 M4:M40 N4:N40 Q4:Q40 S4:S40 U4:U40 W4:W40 Y4:Y40 AA4:AA40 AC4:AC40 AE4:AE40 AH4:AH40">
    <cfRule type="cellIs" priority="9" operator="lessThan" dxfId="2">
      <formula>0</formula>
    </cfRule>
    <cfRule type="cellIs" priority="10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5.6719" customWidth="1" style="3" min="1" max="1"/>
    <col width="34.6719" customWidth="1" style="3" min="2" max="2"/>
    <col width="31.6719" customWidth="1" style="3" min="3" max="3"/>
    <col width="29.6719" customWidth="1" style="3" min="4" max="4"/>
    <col width="26.6719" customWidth="1" style="3" min="5" max="6"/>
  </cols>
  <sheetData>
    <row r="1" ht="28.5" customHeight="1" s="3">
      <c r="A1" s="29" t="inlineStr">
        <is>
          <t>七步方法 · 每日只问一件事</t>
        </is>
      </c>
    </row>
    <row r="2" ht="21" customHeight="1" s="3">
      <c r="A2" s="12" t="inlineStr">
        <is>
          <t>步骤</t>
        </is>
      </c>
      <c r="B2" s="12" t="inlineStr">
        <is>
          <t>每日只问</t>
        </is>
      </c>
      <c r="C2" s="12" t="inlineStr">
        <is>
          <t>为什么重要</t>
        </is>
      </c>
      <c r="D2" s="12" t="inlineStr">
        <is>
          <t>人工核对源</t>
        </is>
      </c>
      <c r="E2" s="12" t="inlineStr">
        <is>
          <t>自动化抓取源</t>
        </is>
      </c>
      <c r="F2" s="12" t="inlineStr">
        <is>
          <t>触发规则</t>
        </is>
      </c>
    </row>
    <row r="3" ht="60" customHeight="1" s="3">
      <c r="A3" s="27" t="inlineStr">
        <is>
          <t>1 利率与债券</t>
        </is>
      </c>
      <c r="B3" s="25" t="inlineStr">
        <is>
          <t>2Y/10Y/30Y是涨是跌？哪个期限变动最大？曲线陡了还是平了？</t>
        </is>
      </c>
      <c r="C3" s="25" t="inlineStr">
        <is>
          <t>利率决定估值贴现率、资本成本和几乎所有风险资产</t>
        </is>
      </c>
      <c r="D3" s="25" t="inlineStr">
        <is>
          <t>TradingView (US02Y/US10Y/US30Y)、Bloomberg、美国财政部官网 Daily Par Yield Curve</t>
        </is>
      </c>
      <c r="E3" s="25" t="inlineStr">
        <is>
          <t>财政部收益率曲线 + 收盘综述报道</t>
        </is>
      </c>
      <c r="F3" s="25" t="inlineStr">
        <is>
          <t>30Y≥5.25%或单日变动≥10bp=警戒</t>
        </is>
      </c>
    </row>
    <row r="4" ht="60" customHeight="1" s="3">
      <c r="A4" s="27" t="inlineStr">
        <is>
          <t>2 指数期货</t>
        </is>
      </c>
      <c r="B4" s="25" t="inlineStr">
        <is>
          <t>标普/纳指/罗素谁领涨谁落后？各指数相对前收盘在哪？</t>
        </is>
      </c>
      <c r="C4" s="25" t="inlineStr">
        <is>
          <t>风险偏好的分布：纳指涨1%罗素跌0.2%和普涨讲的是完全不同的故事</t>
        </is>
      </c>
      <c r="D4" s="25" t="inlineStr">
        <is>
          <t>TradingView (ES/NQ/RTY期货)、Investing.com</t>
        </is>
      </c>
      <c r="E4" s="25" t="inlineStr">
        <is>
          <t>AP/Reuters收盘综述</t>
        </is>
      </c>
      <c r="F4" s="25" t="inlineStr">
        <is>
          <t>领涨与落后差距≥1%=风格切换日</t>
        </is>
      </c>
    </row>
    <row r="5" ht="60" customHeight="1" s="3">
      <c r="A5" s="27" t="inlineStr">
        <is>
          <t>3 石油</t>
        </is>
      </c>
      <c r="B5" s="25" t="inlineStr">
        <is>
          <t>是否有异常表现：连涨/跳变/趋势加速？</t>
        </is>
      </c>
      <c r="C5" s="25" t="inlineStr">
        <is>
          <t>油价→通胀→利率→能源/交通股→经济预期，一条传导链</t>
        </is>
      </c>
      <c r="D5" s="25" t="inlineStr">
        <is>
          <t>TradingView (CL/BZ)、EIA周度库存报告</t>
        </is>
      </c>
      <c r="E5" s="25" t="inlineStr">
        <is>
          <t>收盘报道 + 制裁/地缘新闻</t>
        </is>
      </c>
      <c r="F5" s="25" t="inlineStr">
        <is>
          <t>单日±3%或单周±5%=异常波动</t>
        </is>
      </c>
    </row>
    <row r="6" ht="60" customHeight="1" s="3">
      <c r="A6" s="27" t="inlineStr">
        <is>
          <t>4 黄金和铜</t>
        </is>
      </c>
      <c r="B6" s="25" t="inlineStr">
        <is>
          <t>是否出现重要位移？金和铜是否背离？</t>
        </is>
      </c>
      <c r="C6" s="25" t="inlineStr">
        <is>
          <t>金=利率/美元/避险；铜=工业增长预期；金涨铜平=防御性通胀对冲（滞胀信号）</t>
        </is>
      </c>
      <c r="D6" s="25" t="inlineStr">
        <is>
          <t>TradingView (GC/SI/HG)、LME官网</t>
        </is>
      </c>
      <c r="E6" s="25" t="inlineStr">
        <is>
          <t>COMEX/LME收盘数据</t>
        </is>
      </c>
      <c r="F6" s="25" t="inlineStr">
        <is>
          <t>金铜比单周变动≥5%=重大位移</t>
        </is>
      </c>
    </row>
    <row r="7" ht="60" customHeight="1" s="3">
      <c r="A7" s="27" t="inlineStr">
        <is>
          <t>5 谷物</t>
        </is>
      </c>
      <c r="B7" s="25" t="inlineStr">
        <is>
          <t>玉米/大豆/小麦是否有趋势性大波动？</t>
        </is>
      </c>
      <c r="C7" s="25" t="inlineStr">
        <is>
          <t>剧烈波动最终影响食品通胀、CPI和利率预期</t>
        </is>
      </c>
      <c r="D7" s="25" t="inlineStr">
        <is>
          <t>TradingView (ZC/ZS/ZW)、USDA报告、Pro Farmer作物巡查</t>
        </is>
      </c>
      <c r="E7" s="25" t="inlineStr">
        <is>
          <t>CBOT收盘综述</t>
        </is>
      </c>
      <c r="F7" s="25" t="inlineStr">
        <is>
          <t>玉米或大豆单周±4%=大动静</t>
        </is>
      </c>
    </row>
    <row r="8" ht="60" customHeight="1" s="3">
      <c r="A8" s="27" t="inlineStr">
        <is>
          <t>6 VIX</t>
        </is>
      </c>
      <c r="B8" s="25" t="inlineStr">
        <is>
          <t>不只看数字：曲线是正向/反向/平坦化？前端是否开始更快上涨？</t>
        </is>
      </c>
      <c r="C8" s="25" t="inlineStr">
        <is>
          <t>形状比水平更重要：前端上涨=临近事件被定价=装弹上膛</t>
        </is>
      </c>
      <c r="D8" s="25" t="inlineStr">
        <is>
          <t>CBOE官网、TradingView (VIX/VIX9D/VIX3M/VIX1Y)</t>
        </is>
      </c>
      <c r="E8" s="25" t="inlineStr">
        <is>
          <t>CBOE波动率数据</t>
        </is>
      </c>
      <c r="F8" s="25" t="inlineStr">
        <is>
          <t>VIX9D&gt;VIX现货=装弹上膛</t>
        </is>
      </c>
    </row>
    <row r="9" ht="60" customHeight="1" s="3">
      <c r="A9" s="27" t="inlineStr">
        <is>
          <t>7 日历</t>
        </is>
      </c>
      <c r="B9" s="25" t="inlineStr">
        <is>
          <t>未来一周有哪些CPI/就业/联储/重要财报？市场对冲了吗？</t>
        </is>
      </c>
      <c r="C9" s="25" t="inlineStr">
        <is>
          <t>没被对冲的事件=要么无关紧要要么自满；想推动市场的新闻要提前知道</t>
        </is>
      </c>
      <c r="D9" s="25" t="inlineStr">
        <is>
          <t>Investing.com财经日历、ForexFactory</t>
        </is>
      </c>
      <c r="E9" s="25" t="inlineStr">
        <is>
          <t>财经日历+期权波动率观察</t>
        </is>
      </c>
      <c r="F9" s="25" t="inlineStr">
        <is>
          <t>事件密集+VIX低位=不对称风险</t>
        </is>
      </c>
    </row>
    <row r="11" ht="21" customHeight="1" s="3">
      <c r="A11" s="34" t="inlineStr">
        <is>
          <t>评语规则与四天范例</t>
        </is>
      </c>
    </row>
    <row r="12" ht="19.5" customHeight="1" s="3">
      <c r="A12" s="27" t="inlineStr">
        <is>
          <t>每天只问</t>
        </is>
      </c>
      <c r="B12" s="25" t="inlineStr">
        <is>
          <t>和昨天比，哪个数字的位置变了？</t>
        </is>
      </c>
    </row>
    <row r="13" ht="41.25" customHeight="1" s="3">
      <c r="A13" s="27" t="inlineStr">
        <is>
          <t>一句话评语规则</t>
        </is>
      </c>
      <c r="B13" s="25" t="inlineStr">
        <is>
          <t>用一句话回答"今天市场在交易什么逻辑"——必须包含三要素：主导板块 + 资金流向 + 一个矛盾点。写不出来=还没看懂今天。</t>
        </is>
      </c>
    </row>
    <row r="14" ht="36" customHeight="1" s="3">
      <c r="A14" s="27" t="inlineStr">
        <is>
          <t>范例 8/18</t>
        </is>
      </c>
      <c r="B14" s="25" t="inlineStr">
        <is>
          <t>30年美债盘中5.337%创19年新高，高贴现率屠杀AI/存储链——市场在交易"利率失控"，能源股是唯一避风港。</t>
        </is>
      </c>
    </row>
    <row r="15" ht="36" customHeight="1" s="3">
      <c r="A15" s="27" t="inlineStr">
        <is>
          <t>范例 8/19</t>
        </is>
      </c>
      <c r="B15" s="25" t="inlineStr">
        <is>
          <t>财政部回购翻倍压低长端利率，股金银比特币齐涨——市场在交易"政府托底"，但40亿对比4320亿月度赤字，买的是创可贴不是解药。</t>
        </is>
      </c>
    </row>
    <row r="16" ht="36" customHeight="1" s="3">
      <c r="A16" s="27" t="inlineStr">
        <is>
          <t>范例 8/20</t>
        </is>
      </c>
      <c r="B16" s="25" t="inlineStr">
        <is>
          <t>干预只撑一天：收益率反弹+纪要放鹰+对伊最严制裁——市场在交易"回购买不回信任"，通胀对冲全面转向硬资产。</t>
        </is>
      </c>
    </row>
    <row r="17" ht="36" customHeight="1" s="3">
      <c r="A17" s="27" t="inlineStr">
        <is>
          <t>范例 8/21</t>
        </is>
      </c>
      <c r="B17" s="25" t="inlineStr">
        <is>
          <t>商品周涨5%而股指周跌、实际利率下行——市场在交易"财政信用折价"下的滞胀式避险，VIX前端对事件周毫无对冲。</t>
        </is>
      </c>
    </row>
  </sheetData>
  <mergeCells count="2"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2026-08-23T21:13:54Z</dcterms:created>
  <dcterms:modified xmlns:dcterms="http://purl.org/dc/terms/" xmlns:xsi="http://www.w3.org/2001/XMLSchema-instance" xsi:type="dcterms:W3CDTF">2026-08-31T11:49:24Z</dcterms:modified>
</cp:coreProperties>
</file>